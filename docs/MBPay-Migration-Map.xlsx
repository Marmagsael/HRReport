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Feature Map" sheetId="2" r:id="rId2"/>
    <sheet name="Unmapped Tables" sheetId="3" r:id="rId4"/>
    <sheet name="Phases" sheetId="4" r:id="rId5"/>
    <sheet name="Phase 1 Findings" sheetId="5" r:id="rId6"/>
    <sheet name="Phase 1 Decisions" sheetId="6" r:id="rId7"/>
  </sheets>
  <definedNames>
    <definedName name="_xlnm._FilterDatabase" localSheetId="1" hidden="1">'Feature Map'!$A$1:$H$102</definedName>
    <definedName name="_xlnm._FilterDatabase" localSheetId="2" hidden="1">'Unmapped Tables'!$A$1:$D$51</definedName>
    <definedName name="_xlnm._FilterDatabase" localSheetId="4" hidden="1">'Phase 1 Findings'!$A$1:$H$23</definedName>
  </definedNames>
  <calcPr fullCalcOnLoad="1"/>
</workbook>
</file>

<file path=xl/sharedStrings.xml><?xml version="1.0" encoding="utf-8"?>
<sst xmlns="http://schemas.openxmlformats.org/spreadsheetml/2006/main" count="487" uniqueCount="487">
  <si>
    <t>MBPay (FoxPro) → HRSys (.NET) Migration Map</t>
  </si>
  <si>
    <t>Source: MBPay 2026.10.27.zip vs. HRReport repo, analyzed 2026-10-27.</t>
  </si>
  <si>
    <t>Key finding: MBPay uses the same MySQL schemas (pay, pis/secpis) as HRSys, so this is feature porting, not data migration.</t>
  </si>
  <si>
    <t>Module</t>
  </si>
  <si>
    <t>Total</t>
  </si>
  <si>
    <t>Has page</t>
  </si>
  <si>
    <t>Partial</t>
  </si>
  <si>
    <t>Missing</t>
  </si>
  <si>
    <t>Verify</t>
  </si>
  <si>
    <t>% Covered</t>
  </si>
  <si>
    <t>System</t>
  </si>
  <si>
    <t>Setup</t>
  </si>
  <si>
    <t>Transaction</t>
  </si>
  <si>
    <t>Reports</t>
  </si>
  <si>
    <t>Account Configuration</t>
  </si>
  <si>
    <t>Computation</t>
  </si>
  <si>
    <t>% Covered = rows with an HRSys page of the same name. The logic still has to be checked against FoxPro.</t>
  </si>
  <si>
    <t>Phase 1 Findings by Severity</t>
  </si>
  <si>
    <t>Open</t>
  </si>
  <si>
    <t>Critical</t>
  </si>
  <si>
    <t>High</t>
  </si>
  <si>
    <t>Medium</t>
  </si>
  <si>
    <t>Low</t>
  </si>
  <si>
    <t>FoxPro Menu / Function</t>
  </si>
  <si>
    <t>FoxPro Form / Program</t>
  </si>
  <si>
    <t>HRSys Equivalent</t>
  </si>
  <si>
    <t>Status</t>
  </si>
  <si>
    <t>Notes</t>
  </si>
  <si>
    <t>Phase</t>
  </si>
  <si>
    <t>Remarks</t>
  </si>
  <si>
    <t>User Administration</t>
  </si>
  <si>
    <t>FRMUSERMGR</t>
  </si>
  <si>
    <t>_0506_UserManagement</t>
  </si>
  <si>
    <t/>
  </si>
  <si>
    <t>Change Password</t>
  </si>
  <si>
    <t>FRMCHANGEPASS</t>
  </si>
  <si>
    <t>login module</t>
  </si>
  <si>
    <t>verify</t>
  </si>
  <si>
    <t>Log-out / Exit</t>
  </si>
  <si>
    <t>LOGIN</t>
  </si>
  <si>
    <t>web login</t>
  </si>
  <si>
    <t>Menu/access per user</t>
  </si>
  <si>
    <t>pay.sysmenu, pay.useraccess, pay.acctaccess, pay.reportaccess</t>
  </si>
  <si>
    <t>Employee Rate</t>
  </si>
  <si>
    <t>FRMEMPRATES</t>
  </si>
  <si>
    <t>_0505_EmployeeRates</t>
  </si>
  <si>
    <t>Surety Bond Quota</t>
  </si>
  <si>
    <t>FRMSBQUOTA</t>
  </si>
  <si>
    <t>SSS Table</t>
  </si>
  <si>
    <t>FRMSSSTABLE</t>
  </si>
  <si>
    <t>_0502_05_SSS</t>
  </si>
  <si>
    <t>Phil-Health Table</t>
  </si>
  <si>
    <t>FRMPHICTABLE</t>
  </si>
  <si>
    <t>_0502_06_PHIC</t>
  </si>
  <si>
    <t>Rate Over Basic Pay</t>
  </si>
  <si>
    <t>FRMOTSETUP</t>
  </si>
  <si>
    <t>_0504_00_PayrollgrpRates</t>
  </si>
  <si>
    <t>Salary Grade</t>
  </si>
  <si>
    <t>salaryGrade</t>
  </si>
  <si>
    <t>Accounts Entry</t>
  </si>
  <si>
    <t>FRMCHAROFACCT</t>
  </si>
  <si>
    <t>_0502_ChartOfAccounts</t>
  </si>
  <si>
    <t>Account Mapping</t>
  </si>
  <si>
    <t>AcctMapping</t>
  </si>
  <si>
    <t>Payroll Content</t>
  </si>
  <si>
    <t>PAYCONTENT</t>
  </si>
  <si>
    <t>Deduction Order Setup</t>
  </si>
  <si>
    <t>DEDUCTIONORDER</t>
  </si>
  <si>
    <t>Annual Tax Matrix</t>
  </si>
  <si>
    <t>TAX_MATRIX</t>
  </si>
  <si>
    <t>_0502_04_Tax</t>
  </si>
  <si>
    <t>Semi-Monthly Tax Matrix</t>
  </si>
  <si>
    <t>FRMSEMIMONTHLYTAX</t>
  </si>
  <si>
    <t>Account Code Entry</t>
  </si>
  <si>
    <t>FRMACCTCODE</t>
  </si>
  <si>
    <t>Chart of Accounts</t>
  </si>
  <si>
    <t>Minimum Rate Setup</t>
  </si>
  <si>
    <t>FRMMINIMUMSETUP</t>
  </si>
  <si>
    <t>Status visible in payroll</t>
  </si>
  <si>
    <t>emp_status_visible_to_pay</t>
  </si>
  <si>
    <t>Earnings (per employee)</t>
  </si>
  <si>
    <t>FRMEARNFINAL</t>
  </si>
  <si>
    <t>_0602_EarningsEntry</t>
  </si>
  <si>
    <t>Earnings (group)</t>
  </si>
  <si>
    <t>FRMEARNINGS</t>
  </si>
  <si>
    <t>_0602_12_GroupEarnings</t>
  </si>
  <si>
    <t>Fixed Earnings / Grp Fixed Earnings</t>
  </si>
  <si>
    <t>fixed_earnings, fixed_earnings_grp</t>
  </si>
  <si>
    <t>_0602_11_FixedEarnings</t>
  </si>
  <si>
    <t>13th Mo Salary deduction setter</t>
  </si>
  <si>
    <t>frm13thMonth_ded_Setter</t>
  </si>
  <si>
    <t>Deductions (per employee)</t>
  </si>
  <si>
    <t>FRMCANCELDEDN</t>
  </si>
  <si>
    <t>_0604_DeductionEntry</t>
  </si>
  <si>
    <t>Deductions (group)</t>
  </si>
  <si>
    <t>FRMDEDUCTIONS</t>
  </si>
  <si>
    <t>Partial Deductions</t>
  </si>
  <si>
    <t>FRMPARTIALDED</t>
  </si>
  <si>
    <t>Mandatory Deduction</t>
  </si>
  <si>
    <t>ded_mandatory</t>
  </si>
  <si>
    <t>DedmandatoryDataAccess</t>
  </si>
  <si>
    <t>Hospitalization</t>
  </si>
  <si>
    <t>ded_hospitalization</t>
  </si>
  <si>
    <t>Payroll</t>
  </si>
  <si>
    <t>PAYROLL4 (largest form, ~400KB)</t>
  </si>
  <si>
    <t>_0605/_0606_PayrollProcess, DA605DataAccess</t>
  </si>
  <si>
    <t>core — see Phase 1</t>
  </si>
  <si>
    <t>Payroll variants</t>
  </si>
  <si>
    <t>payroll4_manual, _negativepay, _below500, _40_prcnt_salary, _calculator, _13mogenerator, retro_pay</t>
  </si>
  <si>
    <t>Payroll (custom)</t>
  </si>
  <si>
    <t>PAYROLLX</t>
  </si>
  <si>
    <t>BIR Fields Mapping / Data Migration / Excel Upload</t>
  </si>
  <si>
    <t>bir_fields_mapping, bir_empmas_migration, bir_excelUploading</t>
  </si>
  <si>
    <t>Deductions Summary</t>
  </si>
  <si>
    <t>FRMDEDSUM</t>
  </si>
  <si>
    <t>_1152_DeductionSummary</t>
  </si>
  <si>
    <t>Earnings Summary</t>
  </si>
  <si>
    <t>FRMEARNSUM</t>
  </si>
  <si>
    <t>_1102_EarningsSummary</t>
  </si>
  <si>
    <t>Deductions History</t>
  </si>
  <si>
    <t>FRMDEDSUMEMP</t>
  </si>
  <si>
    <t>_1154_DeductionHistory</t>
  </si>
  <si>
    <t>Earnings History</t>
  </si>
  <si>
    <t>FRMEARNSUMEMP</t>
  </si>
  <si>
    <t>_1103_EarningsHistory</t>
  </si>
  <si>
    <t>Monthly Deductions</t>
  </si>
  <si>
    <t>FRMDEDMONTHLY</t>
  </si>
  <si>
    <t>_1155_MonthlyDeductionSummary</t>
  </si>
  <si>
    <t>Monthly Earnings</t>
  </si>
  <si>
    <t>FRMEARNMONTHLY</t>
  </si>
  <si>
    <t>_1104_MonthlyEarningsReport</t>
  </si>
  <si>
    <t>Loan Summary</t>
  </si>
  <si>
    <t>loans_management</t>
  </si>
  <si>
    <t>_0603_LoansManagement</t>
  </si>
  <si>
    <t>Deduction Summary</t>
  </si>
  <si>
    <t>rptdedsummary</t>
  </si>
  <si>
    <t>_1153_ConsolidatedDeductionSummary</t>
  </si>
  <si>
    <t>Retirement / Grp Retirement</t>
  </si>
  <si>
    <t>rptretirement, rptretirement_grp</t>
  </si>
  <si>
    <t>_1307, _1308</t>
  </si>
  <si>
    <t>Bank Advice</t>
  </si>
  <si>
    <t>FRMBANKADVISE</t>
  </si>
  <si>
    <t>_1205_BankAdvise, _0703</t>
  </si>
  <si>
    <t>Bank Charge</t>
  </si>
  <si>
    <t>FRMBANKCHARGE</t>
  </si>
  <si>
    <t>_1204_BankCharge, _0704</t>
  </si>
  <si>
    <t>Bank Text File</t>
  </si>
  <si>
    <t>FRMBANKTEXTFILE</t>
  </si>
  <si>
    <t>Payroll Register</t>
  </si>
  <si>
    <t>FRMPAYROLLREGISTER</t>
  </si>
  <si>
    <t>_1203_PayrollRegister, _0701</t>
  </si>
  <si>
    <t>Payroll Register Gov</t>
  </si>
  <si>
    <t>FRMPAYROLLREGISTER_GOV</t>
  </si>
  <si>
    <t>Payroll Register (Per Account) [+Gov]</t>
  </si>
  <si>
    <t>FRMPAYROLLREGISTERPERACCT[_GOV]</t>
  </si>
  <si>
    <t>Payroll Register (Masterlist)</t>
  </si>
  <si>
    <t>FRMREGISTERMASTER</t>
  </si>
  <si>
    <t>Payslip</t>
  </si>
  <si>
    <t>FRMPS</t>
  </si>
  <si>
    <t>_1202_Payslip, _0702</t>
  </si>
  <si>
    <t>Payslip Gov / Per Employee [+Gov]</t>
  </si>
  <si>
    <t>FRMPS_GOV, FRMPSPEREMPLOYEE[_GOV]</t>
  </si>
  <si>
    <t>Revised PS: Payroll Summary</t>
  </si>
  <si>
    <t>payroll_register4</t>
  </si>
  <si>
    <t>_1206_PayrollSummaryPerGroup</t>
  </si>
  <si>
    <t>Revised PS: Register (2 Liner)</t>
  </si>
  <si>
    <t>payroll_register4V2</t>
  </si>
  <si>
    <t>Customized: Dressed Payslip / Register / Bank Advice / Text File</t>
  </si>
  <si>
    <t>frmps_deduction_dressing, dressed_*</t>
  </si>
  <si>
    <t>13th Month Detailed / Summary / Register / Bank Advice</t>
  </si>
  <si>
    <t>FRM13THMONTHDETAILED, FRM13THMONTHSUMMARY, FRM132REGISTER, FRMBA13</t>
  </si>
  <si>
    <t>_1209, _1207, _1212, _1208</t>
  </si>
  <si>
    <t>13th Month per Client / per Employee variants (5)</t>
  </si>
  <si>
    <t>FRM13DTLPERCLIENT, FRM13DTLPEREMP, FRM13SUMMARYCLIENT, FRM13SUMMARYEMP, FRM13REGISTER</t>
  </si>
  <si>
    <t>13th Month Payslip</t>
  </si>
  <si>
    <t>—</t>
  </si>
  <si>
    <t>_1213_13thMonthPayslip</t>
  </si>
  <si>
    <t>HRSys only</t>
  </si>
  <si>
    <t>Pag-IBIG Contribution Summary / Remittance</t>
  </si>
  <si>
    <t>FRMPAGIBIGCONTRIBUTION, FRMPAGIBIGCONTREMIT</t>
  </si>
  <si>
    <t>_1254_PagibigContribution</t>
  </si>
  <si>
    <t>Pag-IBIG Remittance (per client)</t>
  </si>
  <si>
    <t>FRMPAGIBIGPERCLIENT</t>
  </si>
  <si>
    <t>Pag-IBIG / HDMF Loan Remittance</t>
  </si>
  <si>
    <t>FRMPAGIBIGLOANREMIT, FRMHDMFLOANREMIT</t>
  </si>
  <si>
    <t>_1255, _1256_CalamityLoanRemittance</t>
  </si>
  <si>
    <t>PhilHealth Contribution</t>
  </si>
  <si>
    <t>FRMPHILHEALTHCONTRIBUTION</t>
  </si>
  <si>
    <t>_1257_PHICContribution</t>
  </si>
  <si>
    <t>PhilHealth Remittance (Text File)</t>
  </si>
  <si>
    <t>FRMPHICQUARTERLY</t>
  </si>
  <si>
    <t>PhilHealth ER2</t>
  </si>
  <si>
    <t>PHIC_ER2</t>
  </si>
  <si>
    <t>PhilHealth Monthly [per client]</t>
  </si>
  <si>
    <t>FRMPHMO, FRMPHMOPERCLIENT</t>
  </si>
  <si>
    <t>SSS R1-A</t>
  </si>
  <si>
    <t>SSS_R1A</t>
  </si>
  <si>
    <t>SSS Loan Remittance</t>
  </si>
  <si>
    <t>FRMSSSLOANREMITTANCE</t>
  </si>
  <si>
    <t>_1253_SSSLoanRemittance</t>
  </si>
  <si>
    <t>SSS Contribution Remittance</t>
  </si>
  <si>
    <t>FRMSSSCONTREMIT</t>
  </si>
  <si>
    <t>_1252_SSSContribution</t>
  </si>
  <si>
    <t>SSS Contribution (Adjusted) / Per Client</t>
  </si>
  <si>
    <t>FRMSSSCONTREMIT2, FRMSSSCONTREMITPERCLIENT</t>
  </si>
  <si>
    <t>SSS Payment Module</t>
  </si>
  <si>
    <t>paymentsss</t>
  </si>
  <si>
    <t>Alphalist / Gov / Per Employee</t>
  </si>
  <si>
    <t>FRMALPHALIST2, FRMALPHALIST_GOV, FRMALPHALISTSINGLE2</t>
  </si>
  <si>
    <t>_1302_TaxAnnualization</t>
  </si>
  <si>
    <t>Account Total</t>
  </si>
  <si>
    <t>FRMACCOUNTTOTALS</t>
  </si>
  <si>
    <t>_1309, _1313_AccountTotal</t>
  </si>
  <si>
    <t>BIR Form 1700</t>
  </si>
  <si>
    <t>FRMFORM1700</t>
  </si>
  <si>
    <t>BIR Form 2316</t>
  </si>
  <si>
    <t>FRMFORM2316</t>
  </si>
  <si>
    <t>Grand Total</t>
  </si>
  <si>
    <t>FRMTOTALDED</t>
  </si>
  <si>
    <t>_1312_GrandTotal</t>
  </si>
  <si>
    <t>Summary Per Client</t>
  </si>
  <si>
    <t>FRMSUMPERCLIENT</t>
  </si>
  <si>
    <t>Withholding Tax Compliance Report</t>
  </si>
  <si>
    <t>FRMWTCR</t>
  </si>
  <si>
    <t>_1305_Compliance, _0705</t>
  </si>
  <si>
    <t>Balance Report (current / by date)</t>
  </si>
  <si>
    <t>FRMBLANCEREP, FRMBLANCEREP2</t>
  </si>
  <si>
    <t>COE (with compensation)</t>
  </si>
  <si>
    <t>coe</t>
  </si>
  <si>
    <t>Quit Claims</t>
  </si>
  <si>
    <t>FRMAR</t>
  </si>
  <si>
    <t>_1304_QuitClaims</t>
  </si>
  <si>
    <t>Emp. Status Included in Payroll</t>
  </si>
  <si>
    <t>payroll_employee_status_inclusion</t>
  </si>
  <si>
    <t>Meal Allowance</t>
  </si>
  <si>
    <t>MEALALLOWANCECONFIG (+ fmealallowance.prg)</t>
  </si>
  <si>
    <t>Uniform</t>
  </si>
  <si>
    <t>UNIFORMCONFIG (+ funiform.prg)</t>
  </si>
  <si>
    <t>Provision for Retirement</t>
  </si>
  <si>
    <t>RETIREMENTCONFIG (+ fprovisionforretirement.prg)</t>
  </si>
  <si>
    <t>OT Account Setup</t>
  </si>
  <si>
    <t>ACCTOTCONFIG (+ fot.prg)</t>
  </si>
  <si>
    <t>_0501_DutyRenderAcctMgt</t>
  </si>
  <si>
    <t>Minimum Client Rate</t>
  </si>
  <si>
    <t>MINRATESETUP</t>
  </si>
  <si>
    <t>Deduction Dressing Mgt</t>
  </si>
  <si>
    <t>deduction_dressing_mgt</t>
  </si>
  <si>
    <t>ECOLA / CTPA / SEA Management</t>
  </si>
  <si>
    <t>ecola_mgt, ctpamgt, seamgt (+ fecola, fctpa, fsea.prg)</t>
  </si>
  <si>
    <t>Record Archiver</t>
  </si>
  <si>
    <t>RecordArchiever, archieve_transaction</t>
  </si>
  <si>
    <t>Tax Setter</t>
  </si>
  <si>
    <t>tax_mapper (+ fclassifytax.prg)</t>
  </si>
  <si>
    <t>Employee Account Exemption</t>
  </si>
  <si>
    <t>deduction_exemption_management</t>
  </si>
  <si>
    <t>13th Month Settings</t>
  </si>
  <si>
    <t>13mosettings</t>
  </si>
  <si>
    <t>fcomputebasicpay</t>
  </si>
  <si>
    <t>Basic pay</t>
  </si>
  <si>
    <t>DA605DataAccess._01EmpByPayrollgrpRate etc.</t>
  </si>
  <si>
    <t>compare</t>
  </si>
  <si>
    <t>fsssprem</t>
  </si>
  <si>
    <t>SSS premium</t>
  </si>
  <si>
    <t>DA605._01_PremSSS</t>
  </si>
  <si>
    <t>fphicprem1</t>
  </si>
  <si>
    <t>PhilHealth premium</t>
  </si>
  <si>
    <t>DA605._01_PremPHIC</t>
  </si>
  <si>
    <t>fpagibigprem</t>
  </si>
  <si>
    <t>Pag-IBIG premium</t>
  </si>
  <si>
    <t>DA605._01_PremPagibig</t>
  </si>
  <si>
    <t>ftax, fclassifytax</t>
  </si>
  <si>
    <t>Withholding tax</t>
  </si>
  <si>
    <t>DA605._01_Tax</t>
  </si>
  <si>
    <t>calcloans</t>
  </si>
  <si>
    <t>Loan amortization</t>
  </si>
  <si>
    <t>DA605._01_Loans</t>
  </si>
  <si>
    <t>minimumnet</t>
  </si>
  <si>
    <t>Minimum net pay rule</t>
  </si>
  <si>
    <t>fot</t>
  </si>
  <si>
    <t>Overtime</t>
  </si>
  <si>
    <t>fallowance, fmealallowance, funiform, fecola, fctpa, fsea, fincentiveleave, fcashbond, fprovisionforretirement</t>
  </si>
  <si>
    <t>Allowances / special accounts</t>
  </si>
  <si>
    <t>loadgrpdedn, loadschedearn</t>
  </si>
  <si>
    <t>Load scheduled earnings/deductions</t>
  </si>
  <si>
    <t>_01_FE_to_Tmptbltran, _01_FEG_to_Tmptbltran</t>
  </si>
  <si>
    <t>fpayrollfooter, fzeroingflds</t>
  </si>
  <si>
    <t>Payroll totals / reset</t>
  </si>
  <si>
    <t>Schema</t>
  </si>
  <si>
    <t>Table</t>
  </si>
  <si>
    <t>HRSys Status</t>
  </si>
  <si>
    <t>pay</t>
  </si>
  <si>
    <t>13thmogrp</t>
  </si>
  <si>
    <t>Not referenced in code</t>
  </si>
  <si>
    <t>13thmosched</t>
  </si>
  <si>
    <t>13thmosettings</t>
  </si>
  <si>
    <t>acctaccess</t>
  </si>
  <si>
    <t>acctconfig</t>
  </si>
  <si>
    <t>allowanceperday</t>
  </si>
  <si>
    <t>audit_payroll_lock</t>
  </si>
  <si>
    <t>coaconfig</t>
  </si>
  <si>
    <t>dedmandatory_trans</t>
  </si>
  <si>
    <t>deductiondressing</t>
  </si>
  <si>
    <t>empdedexemption</t>
  </si>
  <si>
    <t>empstatpisval</t>
  </si>
  <si>
    <t>hospitalizationacct</t>
  </si>
  <si>
    <t>hospitalizationdtl</t>
  </si>
  <si>
    <t>hospitalizationgrp</t>
  </si>
  <si>
    <t>hospitalizationhdr</t>
  </si>
  <si>
    <t>hospitalizationsavings</t>
  </si>
  <si>
    <t>hospitalizationstatus</t>
  </si>
  <si>
    <t>loansacctaccess</t>
  </si>
  <si>
    <t>loansref</t>
  </si>
  <si>
    <t>loansref_rep_access</t>
  </si>
  <si>
    <t>mealallowopt</t>
  </si>
  <si>
    <t>medtbl</t>
  </si>
  <si>
    <t>pisval_empdeploymenthist</t>
  </si>
  <si>
    <t>ratesamt</t>
  </si>
  <si>
    <t>reportaccess</t>
  </si>
  <si>
    <t>reportlist</t>
  </si>
  <si>
    <t>retirementopt</t>
  </si>
  <si>
    <t>semimonthlytax</t>
  </si>
  <si>
    <t>ssstbl</t>
  </si>
  <si>
    <t>sysmenu</t>
  </si>
  <si>
    <t>tblatexemption</t>
  </si>
  <si>
    <t>tblbatch</t>
  </si>
  <si>
    <t>tblotherdedref</t>
  </si>
  <si>
    <t>tblotherdeductions</t>
  </si>
  <si>
    <t>tblotherearnings</t>
  </si>
  <si>
    <t>tbltranarchieved</t>
  </si>
  <si>
    <t>tbltrandeployment</t>
  </si>
  <si>
    <t>templock</t>
  </si>
  <si>
    <t>undeddeduction</t>
  </si>
  <si>
    <t>uniformopt</t>
  </si>
  <si>
    <t>useraccess</t>
  </si>
  <si>
    <t>tmp* (work tables)</t>
  </si>
  <si>
    <t>pis</t>
  </si>
  <si>
    <t>clbranch</t>
  </si>
  <si>
    <t>client_rate_settings</t>
  </si>
  <si>
    <t>client_rateatrail</t>
  </si>
  <si>
    <t>client_rateatrail_empmas</t>
  </si>
  <si>
    <t>empmasarchieved</t>
  </si>
  <si>
    <t>empstatforarchive</t>
  </si>
  <si>
    <t>userclientaccess</t>
  </si>
  <si>
    <t>Scope</t>
  </si>
  <si>
    <t>Features</t>
  </si>
  <si>
    <t>Partial / Verify</t>
  </si>
  <si>
    <t>Payroll computation parity: compare `payroll4.SCT` + `PROGS` with `DA605DataAccess`, run both on the same period, and fix differences. Add tests in `HRApiLibrary.Tests`.</t>
  </si>
  <si>
    <t>Missing account configs that affect computation: OT, minimum net, ECOLA/CTPA/SEA, meal/uniform/retirement, deduction order, employee status inclusion, tax setter, 13th month settings.</t>
  </si>
  <si>
    <t>Missing transactions: partial deductions, hospitalization, retro pay, payroll variants, BIR upload.</t>
  </si>
  <si>
    <t>Government reports and files: SSS R1-A, PhilHealth ER2/text file, bank text file, Alphalist, BIR 1700/2316.</t>
  </si>
  <si>
    <t>Remaining report variants: Gov / per client / per employee / dressed / 2-liner, COE, balance report.</t>
  </si>
  <si>
    <t>Access control and archiving: sysmenu/useraccess equivalents, record archiver.</t>
  </si>
  <si>
    <t>Counts come from the Phase column (G) in Feature Map. Edit column G to re-plan.</t>
  </si>
  <si>
    <t>#</t>
  </si>
  <si>
    <t>Area</t>
  </si>
  <si>
    <t>FoxPro (payroll4)</t>
  </si>
  <si>
    <t>HRSys (DA605)</t>
  </si>
  <si>
    <t>Gap</t>
  </si>
  <si>
    <t>Severity</t>
  </si>
  <si>
    <t>Payroll process UI</t>
  </si>
  <si>
    <t>PAYROLL4 form runs the whole process</t>
  </si>
  <si>
    <t>/03/0605 page has no content, /03/0606 is a placeholder; nothing in any branch calls DA605DataAccess</t>
  </si>
  <si>
    <t>The .NET payroll process cannot be run by users</t>
  </si>
  <si>
    <t>Next: payroll process UI on /03/0605</t>
  </si>
  <si>
    <t>rateid 1 (monthly) = rate/2; 2 (daily) = rate × days; 3 (semi-monthly) = rate; employee rate 0 → client rate × days; monthly/semi-monthly paid even with 0 days</t>
  </si>
  <si>
    <t>No rule in backend; Amount is whatever the UI sends to _03TmpTbltran</t>
  </si>
  <si>
    <t>Basic pay rules missing</t>
  </si>
  <si>
    <t>In progress</t>
  </si>
  <si>
    <t>PayrollCalculator.BasicPay done and tested; wiring waits for the UI</t>
  </si>
  <si>
    <t>SSS basis</t>
  </si>
  <si>
    <t>Bracket uses month-to-date earnings (already saved this month + current); EE = bracket EE − SSS already deducted this month</t>
  </si>
  <si>
    <t>Bracket uses current TRN earnings only, then subtracts SSS already deducted this month</t>
  </si>
  <si>
    <t>2nd cutoff under-deducts SSS</t>
  </si>
  <si>
    <t>Fixed</t>
  </si>
  <si>
    <t>Month-to-date basis in _01_Premium</t>
  </si>
  <si>
    <t>SSS max</t>
  </si>
  <si>
    <t>isMaxSSS = 1 → highest bracket regardless of earnings</t>
  </si>
  <si>
    <t>Not supported</t>
  </si>
  <si>
    <t>Calculator supports IsMaxSss; no column for it in HRSys yet</t>
  </si>
  <si>
    <t>SSS ER / ECC</t>
  </si>
  <si>
    <t>Computes ER share and stores it (used by remittance reports)</t>
  </si>
  <si>
    <t>EE only</t>
  </si>
  <si>
    <t>ER share missing</t>
  </si>
  <si>
    <t>Calculator returns ER; no table to store it yet (needed by remittance reports)</t>
  </si>
  <si>
    <t>SSS non-member</t>
  </si>
  <si>
    <t>iswithSSS != 1 → skip</t>
  </si>
  <si>
    <t>Earnings forced to 0 but still joined to matrix; a bracket starting at 0 would deduct minimum EE</t>
  </si>
  <si>
    <t>Verify matrixSSS lowest bracket</t>
  </si>
  <si>
    <t>Non-members get 0</t>
  </si>
  <si>
    <t>PhilHealth formula</t>
  </si>
  <si>
    <t>EE = fixed + (earnings × percent / 100) / 2</t>
  </si>
  <si>
    <t>EE = ee + earnings × percent / 100 (no ÷ 2)</t>
  </si>
  <si>
    <t>Double the percentage part, unless matrixPHIC.percent is already halved — verify</t>
  </si>
  <si>
    <t>÷ 2 applied. Verify that matrixPHIC.percent holds the total rate (e.g. 5), not the EE share</t>
  </si>
  <si>
    <t>PhilHealth basis</t>
  </si>
  <si>
    <t>Month-to-date earnings, minus PHIC already deducted this month; skip if earnings = 0</t>
  </si>
  <si>
    <t>Current TRN earnings only</t>
  </si>
  <si>
    <t>Same as #3</t>
  </si>
  <si>
    <t>Month-to-date basis</t>
  </si>
  <si>
    <t>PhilHealth non-member</t>
  </si>
  <si>
    <t>iswithPHIC != 1 → skip</t>
  </si>
  <si>
    <t>if(wphic!=1, 0, …) - deducted → negative amount if there were earlier deductions</t>
  </si>
  <si>
    <t>Wrong sign</t>
  </si>
  <si>
    <t>Never negative</t>
  </si>
  <si>
    <t>Pag-IBIG SQL</t>
  </si>
  <si>
    <t>n/a</t>
  </si>
  <si>
    <t>left join pagibig p on t.t.Amount between … — MySQL error “Unknown column t.t.Amount”</t>
  </si>
  <si>
    <t>D004 computation fails at runtime</t>
  </si>
  <si>
    <t>SQL replaced</t>
  </si>
  <si>
    <t>Pag-IBIG rules</t>
  </si>
  <si>
    <t>iswithPagibig check; month-to-date earnings; EE − already deducted</t>
  </si>
  <si>
    <t>No wPagibig check; current TRN only; if(deducted &gt; earnings, 0, …) compares premium to earnings</t>
  </si>
  <si>
    <t>Logic differs</t>
  </si>
  <si>
    <t>wPagibig check, month-to-date basis</t>
  </si>
  <si>
    <t>Tax basis</t>
  </si>
  <si>
    <t>Taxable = current-period taxable earnings − SSS − PHIC − Pag-IBIG (current period)</t>
  </si>
  <si>
    <t>(trn = @Trn or Status = 'P') and AcctNumber in coaTax → includes every posted record of the employee (all history); premiums not deducted</t>
  </si>
  <si>
    <t>Tax heavily overstated</t>
  </si>
  <si>
    <t>Current TRN only, minus SSS/PHIC/Pag-IBIG</t>
  </si>
  <si>
    <t>Tax details</t>
  </si>
  <si>
    <t>excess &lt; 1 → 0; blank tax code → "S"; only istaxable = 1</t>
  </si>
  <si>
    <t>No floor on excess; uses deprecsettings.wTax</t>
  </si>
  <si>
    <t>Minor differences</t>
  </si>
  <si>
    <t>Excess &lt; 1 ignored, never negative</t>
  </si>
  <si>
    <t>Computation order</t>
  </si>
  <si>
    <t>Premiums first, then tax (tax needs D002–D004)</t>
  </si>
  <si>
    <t>Each account computed separately by caller; order not enforced</t>
  </si>
  <si>
    <t>Tax can run before premiums</t>
  </si>
  <si>
    <t>_01_Tax computes missing premiums first</t>
  </si>
  <si>
    <t>Loans re-run</t>
  </si>
  <si>
    <t>Skips a loan already deducted this period (same amount saved)</t>
  </si>
  <si>
    <t>Check uses LEFT(trn,4) = LEFT(@Trn,6) (never true) and the result is unused</t>
  </si>
  <si>
    <t>No duplicate protection</t>
  </si>
  <si>
    <t>Period check uses LEFT(trn,6); already-deducted loans skipped</t>
  </si>
  <si>
    <t>Loan closing</t>
  </si>
  <si>
    <t>After posting: Status = 'I' where Amount &lt; 1 — should be Balance &lt; 1</t>
  </si>
  <si>
    <t>Paid-off loans stay Active</t>
  </si>
  <si>
    <t>Closes on Balance &lt; 1</t>
  </si>
  <si>
    <t>Posting</t>
  </si>
  <si>
    <t>Saves all rows, including negative ones (absent is a negative earning)</t>
  </si>
  <si>
    <t>insert into TblTran … where Amount &gt; 0</t>
  </si>
  <si>
    <t>Negative entries (absences, adjustments) are dropped</t>
  </si>
  <si>
    <t>Posts Amount != 0</t>
  </si>
  <si>
    <t>_01Acct_per_Trn</t>
  </si>
  <si>
    <t>SQL has 3 values for 2 columns and missing parameters</t>
  </si>
  <si>
    <t>Would fail if called (currently unused)</t>
  </si>
  <si>
    <t>Unused method, left as is</t>
  </si>
  <si>
    <t>Hourly = daily rate / 8 × OT rate × hours; non-daily uses salary-grade daily rate; ROT can use fixed amount from ratesamt</t>
  </si>
  <si>
    <t>Not implemented</t>
  </si>
  <si>
    <t>PayrollCalculator.Overtime done and tested</t>
  </si>
  <si>
    <t>Absent</t>
  </si>
  <si>
    <t>−(hours × daily rate / 8), daily rate from salary grade or client rate</t>
  </si>
  <si>
    <t>PayrollCalculator.Absent done and tested</t>
  </si>
  <si>
    <t>Minimum net / lock checks</t>
  </si>
  <si>
    <t>Net &lt; 1000 → zero out unlocked deductions and log to undeddeduction; block lock on negative net; warn if net 0–499</t>
  </si>
  <si>
    <t>ApplyMinimumNet and CheckNet done and tested</t>
  </si>
  <si>
    <t>Other earnings</t>
  </si>
  <si>
    <t>ECOLA, CTPA, SEA, meal allowance, free uniform, incentive leave, provision for retirement, hospitalization, retro pay, 13th month</t>
  </si>
  <si>
    <t>Not implemented (fixed earnings and mandatory deductions exist)</t>
  </si>
  <si>
    <t>Phase 2</t>
  </si>
  <si>
    <t>Question</t>
  </si>
  <si>
    <t>FoxPro actual behavior</t>
  </si>
  <si>
    <t>Recommendation</t>
  </si>
  <si>
    <t>Decision</t>
  </si>
  <si>
    <t>D1</t>
  </si>
  <si>
    <t>Negative premiums</t>
  </si>
  <si>
    <t>IIF(mpremee&lt;1, mpremee=0, …) is a no-op in FoxPro, so negative premiums (refunds) are not clamped</t>
  </si>
  <si>
    <t>Clamp to 0, which is what the code was meant to do</t>
  </si>
  <si>
    <t>Approved (2026-10-27)</t>
  </si>
  <si>
    <t>D2</t>
  </si>
  <si>
    <t>Minimum net: government deductions</t>
  </si>
  <si>
    <t>The filter acct != 'D001' OR acct != 'D002' … is always true, so tax/SSS/PHIC/Pag-IBIG can also be zeroed (unless the account is locked)</t>
  </si>
  <si>
    <t>Never zero D001–D004</t>
  </si>
  <si>
    <t>D3</t>
  </si>
  <si>
    <t>Minimum net threshold</t>
  </si>
  <si>
    <t>Zeroing triggers below 1000; lock warning below 500</t>
  </si>
  <si>
    <t>Make both a setting</t>
  </si>
  <si>
    <t>D4</t>
  </si>
  <si>
    <t>Tax method</t>
  </si>
  <si>
    <t>Per-period lookup in semi-monthly table, no annualization</t>
  </si>
  <si>
    <t>Keep for parity now; annualization is a separate feature (Alphalist/2316)</t>
  </si>
  <si>
    <t>D5</t>
  </si>
  <si>
    <t>Minimum net: how many deductions to zero</t>
  </si>
  <si>
    <t>LOOP in the SCAN continues instead of exiting, so every unlocked deduction is zeroed once net &lt; 1000</t>
  </si>
  <si>
    <t>Zero from highest SortDed down only until net reaches 500 (implemented)</t>
  </si>
  <si>
    <t>Implemented - please confirm</t>
  </si>
  <si>
    <t>Fill in the yellow Decision column.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</si>
</sst>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4"/>
      <name val="Arial"/>
    </font>
    <font>
      <sz val="11"/>
      <name val="Arial"/>
    </font>
    <font>
      <b/>
      <sz val="11"/>
      <color rgb="FFFFFFFF" tint="0"/>
      <name val="Arial"/>
    </font>
    <font>
      <sz val="10"/>
      <name val="Arial"/>
    </font>
    <font>
      <b/>
      <sz val="10"/>
      <name val="Arial"/>
    </font>
    <font>
      <i/>
      <sz val="11"/>
      <name val="Arial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 tint="0"/>
      </patternFill>
    </fill>
    <fill>
      <patternFill patternType="solid">
        <fgColor rgb="FFC6EFCE" tint="0"/>
      </patternFill>
    </fill>
    <fill>
      <patternFill patternType="solid">
        <fgColor rgb="FFFFEB9C" tint="0"/>
      </patternFill>
    </fill>
    <fill>
      <patternFill patternType="solid">
        <fgColor rgb="FFFFC7CE" tint="0"/>
      </patternFill>
    </fill>
    <fill>
      <patternFill patternType="solid">
        <fgColor rgb="FFDDEBF7" tint="0"/>
      </patternFill>
    </fill>
    <fill>
      <patternFill patternType="solid">
        <fgColor rgb="FFF4B6B6" tint="0"/>
      </patternFill>
    </fill>
    <fill>
      <patternFill patternType="solid">
        <fgColor rgb="FFFFFF0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fillId="2" applyFill="1" xfId="0" applyProtection="1"/>
    <xf numFmtId="0" applyNumberFormat="1" fontId="4" applyFont="1" borderId="1" applyBorder="1" xfId="0" applyProtection="1" applyAlignment="1">
      <alignment vertical="top" wrapText="1"/>
    </xf>
    <xf numFmtId="0" applyNumberFormat="1" fontId="5" applyFont="1" borderId="1" applyBorder="1" xfId="0" applyProtection="1" applyAlignment="1">
      <alignment vertical="top" wrapText="1"/>
    </xf>
    <xf numFmtId="0" applyNumberFormat="1" fontId="6" applyFont="1" xfId="0" applyProtection="1"/>
    <xf numFmtId="0" applyNumberFormat="1" fontId="7" applyFont="1" xfId="0" applyProtection="1"/>
    <xf numFmtId="9" applyNumberFormat="1" fontId="4" applyFont="1" borderId="1" applyBorder="1" xfId="0" applyProtection="1" applyAlignment="1">
      <alignment vertical="top" wrapText="1"/>
    </xf>
    <xf numFmtId="9" applyNumberFormat="1" fontId="5" applyFont="1" borderId="1" applyBorder="1" xfId="0" applyProtection="1" applyAlignment="1">
      <alignment vertical="top" wrapText="1"/>
    </xf>
    <xf numFmtId="0" applyNumberFormat="1" fontId="4" applyFont="1" fillId="3" applyFill="1" borderId="1" applyBorder="1" xfId="0" applyProtection="1" applyAlignment="1">
      <alignment vertical="top" wrapText="1"/>
    </xf>
    <xf numFmtId="0" applyNumberFormat="1" fontId="4" applyFont="1" fillId="4" applyFill="1" borderId="1" applyBorder="1" xfId="0" applyProtection="1" applyAlignment="1">
      <alignment vertical="top" wrapText="1"/>
    </xf>
    <xf numFmtId="0" applyNumberFormat="1" fontId="4" applyFont="1" fillId="5" applyFill="1" borderId="1" applyBorder="1" xfId="0" applyProtection="1" applyAlignment="1">
      <alignment vertical="top" wrapText="1"/>
    </xf>
    <xf numFmtId="0" applyNumberFormat="1" fontId="4" applyFont="1" fillId="6" applyFill="1" borderId="1" applyBorder="1" xfId="0" applyProtection="1" applyAlignment="1">
      <alignment vertical="top" wrapText="1"/>
    </xf>
    <xf numFmtId="0" applyNumberFormat="1" fontId="4" applyFont="1" fillId="7" applyFill="1" borderId="1" applyBorder="1" xfId="0" applyProtection="1" applyAlignment="1">
      <alignment vertical="top" wrapText="1"/>
    </xf>
    <xf numFmtId="0" applyNumberFormat="1" fontId="4" applyFont="1" fillId="8" applyFill="1" borderId="1" applyBorder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/>
  </sheetViews>
  <sheetFormatPr defaultRowHeight="15"/>
  <cols>
    <col min="1" max="1" width="24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2" t="s">
        <v>1</v>
      </c>
      <c r="B2" s="2"/>
      <c r="C2" s="2"/>
      <c r="D2" s="2"/>
      <c r="E2" s="2"/>
      <c r="F2" s="2"/>
      <c r="G2" s="2"/>
    </row>
    <row r="3">
      <c r="A3" s="2" t="s">
        <v>2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>
      <c r="A6" s="4" t="s">
        <v>10</v>
      </c>
      <c r="B6" s="4">
        <f>COUNTIF('Feature Map'!$A:$A,$A6)</f>
        <v>4</v>
      </c>
      <c r="C6" s="4">
        <f>COUNTIFS('Feature Map'!$A:$A,$A6,'Feature Map'!$E:$E,"Has page")</f>
        <v>2</v>
      </c>
      <c r="D6" s="4">
        <f>COUNTIFS('Feature Map'!$A:$A,$A6,'Feature Map'!$E:$E,"Partial")</f>
        <v>1</v>
      </c>
      <c r="E6" s="4">
        <f>COUNTIFS('Feature Map'!$A:$A,$A6,'Feature Map'!$E:$E,"Missing")</f>
        <v>1</v>
      </c>
      <c r="F6" s="4">
        <f>COUNTIFS('Feature Map'!$A:$A,$A6,'Feature Map'!$E:$E,"Verify")</f>
        <v>0</v>
      </c>
      <c r="G6" s="8">
        <f>IF(B6=0,0,C6/B6)</f>
        <v>0.5</v>
      </c>
    </row>
    <row r="7">
      <c r="A7" s="4" t="s">
        <v>11</v>
      </c>
      <c r="B7" s="4">
        <f>COUNTIF('Feature Map'!$A:$A,$A7)</f>
        <v>15</v>
      </c>
      <c r="C7" s="4">
        <f>COUNTIFS('Feature Map'!$A:$A,$A7,'Feature Map'!$E:$E,"Has page")</f>
        <v>5</v>
      </c>
      <c r="D7" s="4">
        <f>COUNTIFS('Feature Map'!$A:$A,$A7,'Feature Map'!$E:$E,"Partial")</f>
        <v>3</v>
      </c>
      <c r="E7" s="4">
        <f>COUNTIFS('Feature Map'!$A:$A,$A7,'Feature Map'!$E:$E,"Missing")</f>
        <v>7</v>
      </c>
      <c r="F7" s="4">
        <f>COUNTIFS('Feature Map'!$A:$A,$A7,'Feature Map'!$E:$E,"Verify")</f>
        <v>0</v>
      </c>
      <c r="G7" s="8">
        <f>IF(B7=0,0,C7/B7)</f>
        <v>0.3333333333333333</v>
      </c>
    </row>
    <row r="8">
      <c r="A8" s="4" t="s">
        <v>12</v>
      </c>
      <c r="B8" s="4">
        <f>COUNTIF('Feature Map'!$A:$A,$A8)</f>
        <v>13</v>
      </c>
      <c r="C8" s="4">
        <f>COUNTIFS('Feature Map'!$A:$A,$A8,'Feature Map'!$E:$E,"Has page")</f>
        <v>4</v>
      </c>
      <c r="D8" s="4">
        <f>COUNTIFS('Feature Map'!$A:$A,$A8,'Feature Map'!$E:$E,"Partial")</f>
        <v>3</v>
      </c>
      <c r="E8" s="4">
        <f>COUNTIFS('Feature Map'!$A:$A,$A8,'Feature Map'!$E:$E,"Missing")</f>
        <v>6</v>
      </c>
      <c r="F8" s="4">
        <f>COUNTIFS('Feature Map'!$A:$A,$A8,'Feature Map'!$E:$E,"Verify")</f>
        <v>0</v>
      </c>
      <c r="G8" s="8">
        <f>IF(B8=0,0,C8/B8)</f>
        <v>0.3076923076923077</v>
      </c>
    </row>
    <row r="9">
      <c r="A9" s="4" t="s">
        <v>13</v>
      </c>
      <c r="B9" s="4">
        <f>COUNTIF('Feature Map'!$A:$A,$A9)</f>
        <v>46</v>
      </c>
      <c r="C9" s="4">
        <f>COUNTIFS('Feature Map'!$A:$A,$A9,'Feature Map'!$E:$E,"Has page")</f>
        <v>20</v>
      </c>
      <c r="D9" s="4">
        <f>COUNTIFS('Feature Map'!$A:$A,$A9,'Feature Map'!$E:$E,"Partial")</f>
        <v>6</v>
      </c>
      <c r="E9" s="4">
        <f>COUNTIFS('Feature Map'!$A:$A,$A9,'Feature Map'!$E:$E,"Missing")</f>
        <v>20</v>
      </c>
      <c r="F9" s="4">
        <f>COUNTIFS('Feature Map'!$A:$A,$A9,'Feature Map'!$E:$E,"Verify")</f>
        <v>0</v>
      </c>
      <c r="G9" s="8">
        <f>IF(B9=0,0,C9/B9)</f>
        <v>0.43478260869565216</v>
      </c>
    </row>
    <row r="10">
      <c r="A10" s="4" t="s">
        <v>14</v>
      </c>
      <c r="B10" s="4">
        <f>COUNTIF('Feature Map'!$A:$A,$A10)</f>
        <v>12</v>
      </c>
      <c r="C10" s="4">
        <f>COUNTIFS('Feature Map'!$A:$A,$A10,'Feature Map'!$E:$E,"Has page")</f>
        <v>0</v>
      </c>
      <c r="D10" s="4">
        <f>COUNTIFS('Feature Map'!$A:$A,$A10,'Feature Map'!$E:$E,"Partial")</f>
        <v>1</v>
      </c>
      <c r="E10" s="4">
        <f>COUNTIFS('Feature Map'!$A:$A,$A10,'Feature Map'!$E:$E,"Missing")</f>
        <v>11</v>
      </c>
      <c r="F10" s="4">
        <f>COUNTIFS('Feature Map'!$A:$A,$A10,'Feature Map'!$E:$E,"Verify")</f>
        <v>0</v>
      </c>
      <c r="G10" s="8">
        <f>IF(B10=0,0,C10/B10)</f>
        <v>0</v>
      </c>
    </row>
    <row r="11">
      <c r="A11" s="4" t="s">
        <v>15</v>
      </c>
      <c r="B11" s="4">
        <f>COUNTIF('Feature Map'!$A:$A,$A11)</f>
        <v>11</v>
      </c>
      <c r="C11" s="4">
        <f>COUNTIFS('Feature Map'!$A:$A,$A11,'Feature Map'!$E:$E,"Has page")</f>
        <v>0</v>
      </c>
      <c r="D11" s="4">
        <f>COUNTIFS('Feature Map'!$A:$A,$A11,'Feature Map'!$E:$E,"Partial")</f>
        <v>7</v>
      </c>
      <c r="E11" s="4">
        <f>COUNTIFS('Feature Map'!$A:$A,$A11,'Feature Map'!$E:$E,"Missing")</f>
        <v>3</v>
      </c>
      <c r="F11" s="4">
        <f>COUNTIFS('Feature Map'!$A:$A,$A11,'Feature Map'!$E:$E,"Verify")</f>
        <v>1</v>
      </c>
      <c r="G11" s="8">
        <f>IF(B11=0,0,C11/B11)</f>
        <v>0</v>
      </c>
    </row>
    <row r="12">
      <c r="A12" s="5" t="s">
        <v>4</v>
      </c>
      <c r="B12" s="5">
        <f>SUM(B6:B11)</f>
        <v>101</v>
      </c>
      <c r="C12" s="5">
        <f>SUM(C6:C11)</f>
        <v>31</v>
      </c>
      <c r="D12" s="5">
        <f>SUM(D6:D11)</f>
        <v>21</v>
      </c>
      <c r="E12" s="5">
        <f>SUM(E6:E11)</f>
        <v>48</v>
      </c>
      <c r="F12" s="5">
        <f>SUM(F6:F11)</f>
        <v>1</v>
      </c>
      <c r="G12" s="9">
        <f>IF(B12=0,0,C12/B12)</f>
        <v>0.3069306930693069</v>
      </c>
    </row>
    <row r="13">
      <c r="A13" s="2"/>
      <c r="B13" s="2"/>
      <c r="C13" s="2"/>
      <c r="D13" s="2"/>
      <c r="E13" s="2"/>
      <c r="F13" s="2"/>
      <c r="G13" s="2"/>
    </row>
    <row r="14">
      <c r="A14" s="6" t="s">
        <v>16</v>
      </c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7" t="s">
        <v>17</v>
      </c>
      <c r="B16" s="2" t="s">
        <v>4</v>
      </c>
      <c r="C16" s="2" t="s">
        <v>18</v>
      </c>
      <c r="D16" s="2"/>
      <c r="E16" s="2"/>
      <c r="F16" s="2"/>
      <c r="G16" s="2"/>
    </row>
    <row r="17">
      <c r="A17" s="4" t="s">
        <v>19</v>
      </c>
      <c r="B17" s="4">
        <f>COUNTIF('Phase 1 Findings'!$F:$F,A17)</f>
        <v>3</v>
      </c>
      <c r="C17" s="4">
        <f>COUNTIFS('Phase 1 Findings'!$F:$F,A17,'Phase 1 Findings'!$G:$G,"Open")</f>
        <v>1</v>
      </c>
      <c r="D17" s="2"/>
      <c r="E17" s="2"/>
      <c r="F17" s="2"/>
      <c r="G17" s="2"/>
    </row>
    <row r="18">
      <c r="A18" s="4" t="s">
        <v>20</v>
      </c>
      <c r="B18" s="4">
        <f>COUNTIF('Phase 1 Findings'!$F:$F,A18)</f>
        <v>10</v>
      </c>
      <c r="C18" s="4">
        <f>COUNTIFS('Phase 1 Findings'!$F:$F,A18,'Phase 1 Findings'!$G:$G,"Open")</f>
        <v>1</v>
      </c>
      <c r="D18" s="2"/>
      <c r="E18" s="2"/>
      <c r="F18" s="2"/>
      <c r="G18" s="2"/>
    </row>
    <row r="19">
      <c r="A19" s="4" t="s">
        <v>21</v>
      </c>
      <c r="B19" s="4">
        <f>COUNTIF('Phase 1 Findings'!$F:$F,A19)</f>
        <v>7</v>
      </c>
      <c r="C19" s="4">
        <f>COUNTIFS('Phase 1 Findings'!$F:$F,A19,'Phase 1 Findings'!$G:$G,"Open")</f>
        <v>0</v>
      </c>
      <c r="D19" s="2"/>
      <c r="E19" s="2"/>
      <c r="F19" s="2"/>
      <c r="G19" s="2"/>
    </row>
    <row r="20">
      <c r="A20" s="4" t="s">
        <v>22</v>
      </c>
      <c r="B20" s="4">
        <f>COUNTIF('Phase 1 Findings'!$F:$F,A20)</f>
        <v>2</v>
      </c>
      <c r="C20" s="4">
        <f>COUNTIFS('Phase 1 Findings'!$F:$F,A20,'Phase 1 Findings'!$G:$G,"Open")</f>
        <v>1</v>
      </c>
      <c r="D20" s="2"/>
      <c r="E20" s="2"/>
      <c r="F20" s="2"/>
      <c r="G2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0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" customWidth="1"/>
    <col min="2" max="2" width="40" customWidth="1"/>
    <col min="3" max="3" width="42" customWidth="1"/>
    <col min="4" max="4" width="42" customWidth="1"/>
    <col min="5" max="5" width="12" customWidth="1"/>
    <col min="6" max="6" width="18" customWidth="1"/>
    <col min="7" max="7" width="8" customWidth="1"/>
    <col min="8" max="8" width="30" customWidth="1"/>
  </cols>
  <sheetData>
    <row r="1">
      <c r="A1" s="3" t="s">
        <v>3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</row>
    <row r="2">
      <c r="A2" s="4" t="s">
        <v>10</v>
      </c>
      <c r="B2" s="4" t="s">
        <v>30</v>
      </c>
      <c r="C2" s="4" t="s">
        <v>31</v>
      </c>
      <c r="D2" s="4" t="s">
        <v>32</v>
      </c>
      <c r="E2" s="10" t="s">
        <v>5</v>
      </c>
      <c r="F2" s="4" t="s">
        <v>33</v>
      </c>
      <c r="G2" s="4">
        <v>6</v>
      </c>
      <c r="H2" s="4"/>
    </row>
    <row r="3">
      <c r="A3" s="4" t="s">
        <v>10</v>
      </c>
      <c r="B3" s="4" t="s">
        <v>34</v>
      </c>
      <c r="C3" s="4" t="s">
        <v>35</v>
      </c>
      <c r="D3" s="4" t="s">
        <v>36</v>
      </c>
      <c r="E3" s="11" t="s">
        <v>6</v>
      </c>
      <c r="F3" s="4" t="s">
        <v>37</v>
      </c>
      <c r="G3" s="4">
        <v>6</v>
      </c>
      <c r="H3" s="4"/>
    </row>
    <row r="4">
      <c r="A4" s="4" t="s">
        <v>10</v>
      </c>
      <c r="B4" s="4" t="s">
        <v>38</v>
      </c>
      <c r="C4" s="4" t="s">
        <v>39</v>
      </c>
      <c r="D4" s="4" t="s">
        <v>33</v>
      </c>
      <c r="E4" s="10" t="s">
        <v>5</v>
      </c>
      <c r="F4" s="4" t="s">
        <v>40</v>
      </c>
      <c r="G4" s="4">
        <v>6</v>
      </c>
      <c r="H4" s="4"/>
    </row>
    <row r="5">
      <c r="A5" s="4" t="s">
        <v>10</v>
      </c>
      <c r="B5" s="4" t="s">
        <v>41</v>
      </c>
      <c r="C5" s="4" t="s">
        <v>42</v>
      </c>
      <c r="D5" s="4" t="s">
        <v>33</v>
      </c>
      <c r="E5" s="12" t="s">
        <v>7</v>
      </c>
      <c r="F5" s="4" t="s">
        <v>33</v>
      </c>
      <c r="G5" s="4">
        <v>6</v>
      </c>
      <c r="H5" s="4"/>
    </row>
    <row r="6">
      <c r="A6" s="4" t="s">
        <v>11</v>
      </c>
      <c r="B6" s="4" t="s">
        <v>43</v>
      </c>
      <c r="C6" s="4" t="s">
        <v>44</v>
      </c>
      <c r="D6" s="4" t="s">
        <v>45</v>
      </c>
      <c r="E6" s="10" t="s">
        <v>5</v>
      </c>
      <c r="F6" s="4" t="s">
        <v>33</v>
      </c>
      <c r="G6" s="4">
        <v>2</v>
      </c>
      <c r="H6" s="4"/>
    </row>
    <row r="7">
      <c r="A7" s="4" t="s">
        <v>11</v>
      </c>
      <c r="B7" s="4" t="s">
        <v>46</v>
      </c>
      <c r="C7" s="4" t="s">
        <v>47</v>
      </c>
      <c r="D7" s="4" t="s">
        <v>33</v>
      </c>
      <c r="E7" s="12" t="s">
        <v>7</v>
      </c>
      <c r="F7" s="4" t="s">
        <v>33</v>
      </c>
      <c r="G7" s="4">
        <v>2</v>
      </c>
      <c r="H7" s="4"/>
    </row>
    <row r="8">
      <c r="A8" s="4" t="s">
        <v>11</v>
      </c>
      <c r="B8" s="4" t="s">
        <v>48</v>
      </c>
      <c r="C8" s="4" t="s">
        <v>49</v>
      </c>
      <c r="D8" s="4" t="s">
        <v>50</v>
      </c>
      <c r="E8" s="10" t="s">
        <v>5</v>
      </c>
      <c r="F8" s="4" t="s">
        <v>33</v>
      </c>
      <c r="G8" s="4">
        <v>2</v>
      </c>
      <c r="H8" s="4"/>
    </row>
    <row r="9">
      <c r="A9" s="4" t="s">
        <v>11</v>
      </c>
      <c r="B9" s="4" t="s">
        <v>51</v>
      </c>
      <c r="C9" s="4" t="s">
        <v>52</v>
      </c>
      <c r="D9" s="4" t="s">
        <v>53</v>
      </c>
      <c r="E9" s="10" t="s">
        <v>5</v>
      </c>
      <c r="F9" s="4" t="s">
        <v>33</v>
      </c>
      <c r="G9" s="4">
        <v>2</v>
      </c>
      <c r="H9" s="4"/>
    </row>
    <row r="10">
      <c r="A10" s="4" t="s">
        <v>11</v>
      </c>
      <c r="B10" s="4" t="s">
        <v>54</v>
      </c>
      <c r="C10" s="4" t="s">
        <v>55</v>
      </c>
      <c r="D10" s="4" t="s">
        <v>56</v>
      </c>
      <c r="E10" s="11" t="s">
        <v>6</v>
      </c>
      <c r="F10" s="4" t="s">
        <v>33</v>
      </c>
      <c r="G10" s="4">
        <v>2</v>
      </c>
      <c r="H10" s="4"/>
    </row>
    <row r="11">
      <c r="A11" s="4" t="s">
        <v>11</v>
      </c>
      <c r="B11" s="4" t="s">
        <v>57</v>
      </c>
      <c r="C11" s="4" t="s">
        <v>58</v>
      </c>
      <c r="D11" s="4" t="s">
        <v>33</v>
      </c>
      <c r="E11" s="12" t="s">
        <v>7</v>
      </c>
      <c r="F11" s="4" t="s">
        <v>33</v>
      </c>
      <c r="G11" s="4">
        <v>2</v>
      </c>
      <c r="H11" s="4"/>
    </row>
    <row r="12">
      <c r="A12" s="4" t="s">
        <v>11</v>
      </c>
      <c r="B12" s="4" t="s">
        <v>59</v>
      </c>
      <c r="C12" s="4" t="s">
        <v>60</v>
      </c>
      <c r="D12" s="4" t="s">
        <v>61</v>
      </c>
      <c r="E12" s="10" t="s">
        <v>5</v>
      </c>
      <c r="F12" s="4" t="s">
        <v>33</v>
      </c>
      <c r="G12" s="4">
        <v>2</v>
      </c>
      <c r="H12" s="4"/>
    </row>
    <row r="13">
      <c r="A13" s="4" t="s">
        <v>11</v>
      </c>
      <c r="B13" s="4" t="s">
        <v>62</v>
      </c>
      <c r="C13" s="4" t="s">
        <v>63</v>
      </c>
      <c r="D13" s="4" t="s">
        <v>33</v>
      </c>
      <c r="E13" s="12" t="s">
        <v>7</v>
      </c>
      <c r="F13" s="4" t="s">
        <v>33</v>
      </c>
      <c r="G13" s="4">
        <v>2</v>
      </c>
      <c r="H13" s="4"/>
    </row>
    <row r="14">
      <c r="A14" s="4" t="s">
        <v>11</v>
      </c>
      <c r="B14" s="4" t="s">
        <v>64</v>
      </c>
      <c r="C14" s="4" t="s">
        <v>65</v>
      </c>
      <c r="D14" s="4" t="s">
        <v>33</v>
      </c>
      <c r="E14" s="12" t="s">
        <v>7</v>
      </c>
      <c r="F14" s="4" t="s">
        <v>33</v>
      </c>
      <c r="G14" s="4">
        <v>2</v>
      </c>
      <c r="H14" s="4"/>
    </row>
    <row r="15">
      <c r="A15" s="4" t="s">
        <v>11</v>
      </c>
      <c r="B15" s="4" t="s">
        <v>66</v>
      </c>
      <c r="C15" s="4" t="s">
        <v>67</v>
      </c>
      <c r="D15" s="4" t="s">
        <v>33</v>
      </c>
      <c r="E15" s="12" t="s">
        <v>7</v>
      </c>
      <c r="F15" s="4" t="s">
        <v>33</v>
      </c>
      <c r="G15" s="4">
        <v>2</v>
      </c>
      <c r="H15" s="4"/>
    </row>
    <row r="16">
      <c r="A16" s="4" t="s">
        <v>11</v>
      </c>
      <c r="B16" s="4" t="s">
        <v>68</v>
      </c>
      <c r="C16" s="4" t="s">
        <v>69</v>
      </c>
      <c r="D16" s="4" t="s">
        <v>70</v>
      </c>
      <c r="E16" s="10" t="s">
        <v>5</v>
      </c>
      <c r="F16" s="4" t="s">
        <v>33</v>
      </c>
      <c r="G16" s="4">
        <v>2</v>
      </c>
      <c r="H16" s="4"/>
    </row>
    <row r="17">
      <c r="A17" s="4" t="s">
        <v>11</v>
      </c>
      <c r="B17" s="4" t="s">
        <v>71</v>
      </c>
      <c r="C17" s="4" t="s">
        <v>72</v>
      </c>
      <c r="D17" s="4" t="s">
        <v>70</v>
      </c>
      <c r="E17" s="11" t="s">
        <v>6</v>
      </c>
      <c r="F17" s="4" t="s">
        <v>37</v>
      </c>
      <c r="G17" s="4">
        <v>2</v>
      </c>
      <c r="H17" s="4"/>
    </row>
    <row r="18">
      <c r="A18" s="4" t="s">
        <v>11</v>
      </c>
      <c r="B18" s="4" t="s">
        <v>73</v>
      </c>
      <c r="C18" s="4" t="s">
        <v>74</v>
      </c>
      <c r="D18" s="4" t="s">
        <v>75</v>
      </c>
      <c r="E18" s="11" t="s">
        <v>6</v>
      </c>
      <c r="F18" s="4" t="s">
        <v>33</v>
      </c>
      <c r="G18" s="4">
        <v>2</v>
      </c>
      <c r="H18" s="4"/>
    </row>
    <row r="19">
      <c r="A19" s="4" t="s">
        <v>11</v>
      </c>
      <c r="B19" s="4" t="s">
        <v>76</v>
      </c>
      <c r="C19" s="4" t="s">
        <v>77</v>
      </c>
      <c r="D19" s="4" t="s">
        <v>33</v>
      </c>
      <c r="E19" s="12" t="s">
        <v>7</v>
      </c>
      <c r="F19" s="4" t="s">
        <v>33</v>
      </c>
      <c r="G19" s="4">
        <v>2</v>
      </c>
      <c r="H19" s="4"/>
    </row>
    <row r="20">
      <c r="A20" s="4" t="s">
        <v>11</v>
      </c>
      <c r="B20" s="4" t="s">
        <v>78</v>
      </c>
      <c r="C20" s="4" t="s">
        <v>79</v>
      </c>
      <c r="D20" s="4" t="s">
        <v>33</v>
      </c>
      <c r="E20" s="12" t="s">
        <v>7</v>
      </c>
      <c r="F20" s="4" t="s">
        <v>33</v>
      </c>
      <c r="G20" s="4">
        <v>2</v>
      </c>
      <c r="H20" s="4"/>
    </row>
    <row r="21">
      <c r="A21" s="4" t="s">
        <v>12</v>
      </c>
      <c r="B21" s="4" t="s">
        <v>80</v>
      </c>
      <c r="C21" s="4" t="s">
        <v>81</v>
      </c>
      <c r="D21" s="4" t="s">
        <v>82</v>
      </c>
      <c r="E21" s="10" t="s">
        <v>5</v>
      </c>
      <c r="F21" s="4" t="s">
        <v>33</v>
      </c>
      <c r="G21" s="4">
        <v>3</v>
      </c>
      <c r="H21" s="4"/>
    </row>
    <row r="22">
      <c r="A22" s="4" t="s">
        <v>12</v>
      </c>
      <c r="B22" s="4" t="s">
        <v>83</v>
      </c>
      <c r="C22" s="4" t="s">
        <v>84</v>
      </c>
      <c r="D22" s="4" t="s">
        <v>85</v>
      </c>
      <c r="E22" s="10" t="s">
        <v>5</v>
      </c>
      <c r="F22" s="4" t="s">
        <v>33</v>
      </c>
      <c r="G22" s="4">
        <v>3</v>
      </c>
      <c r="H22" s="4"/>
    </row>
    <row r="23">
      <c r="A23" s="4" t="s">
        <v>12</v>
      </c>
      <c r="B23" s="4" t="s">
        <v>86</v>
      </c>
      <c r="C23" s="4" t="s">
        <v>87</v>
      </c>
      <c r="D23" s="4" t="s">
        <v>88</v>
      </c>
      <c r="E23" s="10" t="s">
        <v>5</v>
      </c>
      <c r="F23" s="4" t="s">
        <v>33</v>
      </c>
      <c r="G23" s="4">
        <v>3</v>
      </c>
      <c r="H23" s="4"/>
    </row>
    <row r="24">
      <c r="A24" s="4" t="s">
        <v>12</v>
      </c>
      <c r="B24" s="4" t="s">
        <v>89</v>
      </c>
      <c r="C24" s="4" t="s">
        <v>90</v>
      </c>
      <c r="D24" s="4" t="s">
        <v>33</v>
      </c>
      <c r="E24" s="12" t="s">
        <v>7</v>
      </c>
      <c r="F24" s="4" t="s">
        <v>33</v>
      </c>
      <c r="G24" s="4">
        <v>3</v>
      </c>
      <c r="H24" s="4"/>
    </row>
    <row r="25">
      <c r="A25" s="4" t="s">
        <v>12</v>
      </c>
      <c r="B25" s="4" t="s">
        <v>91</v>
      </c>
      <c r="C25" s="4" t="s">
        <v>92</v>
      </c>
      <c r="D25" s="4" t="s">
        <v>93</v>
      </c>
      <c r="E25" s="10" t="s">
        <v>5</v>
      </c>
      <c r="F25" s="4" t="s">
        <v>33</v>
      </c>
      <c r="G25" s="4">
        <v>3</v>
      </c>
      <c r="H25" s="4"/>
    </row>
    <row r="26">
      <c r="A26" s="4" t="s">
        <v>12</v>
      </c>
      <c r="B26" s="4" t="s">
        <v>94</v>
      </c>
      <c r="C26" s="4" t="s">
        <v>95</v>
      </c>
      <c r="D26" s="4" t="s">
        <v>93</v>
      </c>
      <c r="E26" s="11" t="s">
        <v>6</v>
      </c>
      <c r="F26" s="4" t="s">
        <v>33</v>
      </c>
      <c r="G26" s="4">
        <v>3</v>
      </c>
      <c r="H26" s="4"/>
    </row>
    <row r="27">
      <c r="A27" s="4" t="s">
        <v>12</v>
      </c>
      <c r="B27" s="4" t="s">
        <v>96</v>
      </c>
      <c r="C27" s="4" t="s">
        <v>97</v>
      </c>
      <c r="D27" s="4" t="s">
        <v>33</v>
      </c>
      <c r="E27" s="12" t="s">
        <v>7</v>
      </c>
      <c r="F27" s="4" t="s">
        <v>33</v>
      </c>
      <c r="G27" s="4">
        <v>3</v>
      </c>
      <c r="H27" s="4"/>
    </row>
    <row r="28">
      <c r="A28" s="4" t="s">
        <v>12</v>
      </c>
      <c r="B28" s="4" t="s">
        <v>98</v>
      </c>
      <c r="C28" s="4" t="s">
        <v>99</v>
      </c>
      <c r="D28" s="4" t="s">
        <v>100</v>
      </c>
      <c r="E28" s="11" t="s">
        <v>6</v>
      </c>
      <c r="F28" s="4" t="s">
        <v>33</v>
      </c>
      <c r="G28" s="4">
        <v>3</v>
      </c>
      <c r="H28" s="4"/>
    </row>
    <row r="29">
      <c r="A29" s="4" t="s">
        <v>12</v>
      </c>
      <c r="B29" s="4" t="s">
        <v>101</v>
      </c>
      <c r="C29" s="4" t="s">
        <v>102</v>
      </c>
      <c r="D29" s="4" t="s">
        <v>33</v>
      </c>
      <c r="E29" s="12" t="s">
        <v>7</v>
      </c>
      <c r="F29" s="4" t="s">
        <v>33</v>
      </c>
      <c r="G29" s="4">
        <v>3</v>
      </c>
      <c r="H29" s="4"/>
    </row>
    <row r="30">
      <c r="A30" s="4" t="s">
        <v>12</v>
      </c>
      <c r="B30" s="5" t="s">
        <v>103</v>
      </c>
      <c r="C30" s="4" t="s">
        <v>104</v>
      </c>
      <c r="D30" s="4" t="s">
        <v>105</v>
      </c>
      <c r="E30" s="11" t="s">
        <v>6</v>
      </c>
      <c r="F30" s="4" t="s">
        <v>106</v>
      </c>
      <c r="G30" s="4">
        <v>3</v>
      </c>
      <c r="H30" s="4"/>
    </row>
    <row r="31">
      <c r="A31" s="4" t="s">
        <v>12</v>
      </c>
      <c r="B31" s="4" t="s">
        <v>107</v>
      </c>
      <c r="C31" s="4" t="s">
        <v>108</v>
      </c>
      <c r="D31" s="4" t="s">
        <v>33</v>
      </c>
      <c r="E31" s="12" t="s">
        <v>7</v>
      </c>
      <c r="F31" s="4" t="s">
        <v>33</v>
      </c>
      <c r="G31" s="4">
        <v>3</v>
      </c>
      <c r="H31" s="4"/>
    </row>
    <row r="32">
      <c r="A32" s="4" t="s">
        <v>12</v>
      </c>
      <c r="B32" s="4" t="s">
        <v>109</v>
      </c>
      <c r="C32" s="4" t="s">
        <v>110</v>
      </c>
      <c r="D32" s="4" t="s">
        <v>33</v>
      </c>
      <c r="E32" s="12" t="s">
        <v>7</v>
      </c>
      <c r="F32" s="4" t="s">
        <v>33</v>
      </c>
      <c r="G32" s="4">
        <v>3</v>
      </c>
      <c r="H32" s="4"/>
    </row>
    <row r="33">
      <c r="A33" s="4" t="s">
        <v>12</v>
      </c>
      <c r="B33" s="4" t="s">
        <v>111</v>
      </c>
      <c r="C33" s="4" t="s">
        <v>112</v>
      </c>
      <c r="D33" s="4" t="s">
        <v>33</v>
      </c>
      <c r="E33" s="12" t="s">
        <v>7</v>
      </c>
      <c r="F33" s="4" t="s">
        <v>33</v>
      </c>
      <c r="G33" s="4">
        <v>3</v>
      </c>
      <c r="H33" s="4"/>
    </row>
    <row r="34">
      <c r="A34" s="4" t="s">
        <v>13</v>
      </c>
      <c r="B34" s="4" t="s">
        <v>113</v>
      </c>
      <c r="C34" s="4" t="s">
        <v>114</v>
      </c>
      <c r="D34" s="4" t="s">
        <v>115</v>
      </c>
      <c r="E34" s="10" t="s">
        <v>5</v>
      </c>
      <c r="F34" s="4" t="s">
        <v>33</v>
      </c>
      <c r="G34" s="4">
        <v>5</v>
      </c>
      <c r="H34" s="4"/>
    </row>
    <row r="35">
      <c r="A35" s="4" t="s">
        <v>13</v>
      </c>
      <c r="B35" s="4" t="s">
        <v>116</v>
      </c>
      <c r="C35" s="4" t="s">
        <v>117</v>
      </c>
      <c r="D35" s="4" t="s">
        <v>118</v>
      </c>
      <c r="E35" s="10" t="s">
        <v>5</v>
      </c>
      <c r="F35" s="4" t="s">
        <v>33</v>
      </c>
      <c r="G35" s="4">
        <v>5</v>
      </c>
      <c r="H35" s="4"/>
    </row>
    <row r="36">
      <c r="A36" s="4" t="s">
        <v>13</v>
      </c>
      <c r="B36" s="4" t="s">
        <v>119</v>
      </c>
      <c r="C36" s="4" t="s">
        <v>120</v>
      </c>
      <c r="D36" s="4" t="s">
        <v>121</v>
      </c>
      <c r="E36" s="10" t="s">
        <v>5</v>
      </c>
      <c r="F36" s="4" t="s">
        <v>33</v>
      </c>
      <c r="G36" s="4">
        <v>5</v>
      </c>
      <c r="H36" s="4"/>
    </row>
    <row r="37">
      <c r="A37" s="4" t="s">
        <v>13</v>
      </c>
      <c r="B37" s="4" t="s">
        <v>122</v>
      </c>
      <c r="C37" s="4" t="s">
        <v>123</v>
      </c>
      <c r="D37" s="4" t="s">
        <v>124</v>
      </c>
      <c r="E37" s="10" t="s">
        <v>5</v>
      </c>
      <c r="F37" s="4" t="s">
        <v>33</v>
      </c>
      <c r="G37" s="4">
        <v>5</v>
      </c>
      <c r="H37" s="4"/>
    </row>
    <row r="38">
      <c r="A38" s="4" t="s">
        <v>13</v>
      </c>
      <c r="B38" s="4" t="s">
        <v>125</v>
      </c>
      <c r="C38" s="4" t="s">
        <v>126</v>
      </c>
      <c r="D38" s="4" t="s">
        <v>127</v>
      </c>
      <c r="E38" s="10" t="s">
        <v>5</v>
      </c>
      <c r="F38" s="4" t="s">
        <v>33</v>
      </c>
      <c r="G38" s="4">
        <v>5</v>
      </c>
      <c r="H38" s="4"/>
    </row>
    <row r="39">
      <c r="A39" s="4" t="s">
        <v>13</v>
      </c>
      <c r="B39" s="4" t="s">
        <v>128</v>
      </c>
      <c r="C39" s="4" t="s">
        <v>129</v>
      </c>
      <c r="D39" s="4" t="s">
        <v>130</v>
      </c>
      <c r="E39" s="10" t="s">
        <v>5</v>
      </c>
      <c r="F39" s="4" t="s">
        <v>33</v>
      </c>
      <c r="G39" s="4">
        <v>5</v>
      </c>
      <c r="H39" s="4"/>
    </row>
    <row r="40">
      <c r="A40" s="4" t="s">
        <v>13</v>
      </c>
      <c r="B40" s="4" t="s">
        <v>131</v>
      </c>
      <c r="C40" s="4" t="s">
        <v>132</v>
      </c>
      <c r="D40" s="4" t="s">
        <v>133</v>
      </c>
      <c r="E40" s="11" t="s">
        <v>6</v>
      </c>
      <c r="F40" s="4" t="s">
        <v>33</v>
      </c>
      <c r="G40" s="4">
        <v>5</v>
      </c>
      <c r="H40" s="4"/>
    </row>
    <row r="41">
      <c r="A41" s="4" t="s">
        <v>13</v>
      </c>
      <c r="B41" s="4" t="s">
        <v>134</v>
      </c>
      <c r="C41" s="4" t="s">
        <v>135</v>
      </c>
      <c r="D41" s="4" t="s">
        <v>136</v>
      </c>
      <c r="E41" s="11" t="s">
        <v>6</v>
      </c>
      <c r="F41" s="4" t="s">
        <v>37</v>
      </c>
      <c r="G41" s="4">
        <v>5</v>
      </c>
      <c r="H41" s="4"/>
    </row>
    <row r="42">
      <c r="A42" s="4" t="s">
        <v>13</v>
      </c>
      <c r="B42" s="4" t="s">
        <v>137</v>
      </c>
      <c r="C42" s="4" t="s">
        <v>138</v>
      </c>
      <c r="D42" s="4" t="s">
        <v>139</v>
      </c>
      <c r="E42" s="10" t="s">
        <v>5</v>
      </c>
      <c r="F42" s="4" t="s">
        <v>33</v>
      </c>
      <c r="G42" s="4">
        <v>5</v>
      </c>
      <c r="H42" s="4"/>
    </row>
    <row r="43">
      <c r="A43" s="4" t="s">
        <v>13</v>
      </c>
      <c r="B43" s="4" t="s">
        <v>140</v>
      </c>
      <c r="C43" s="4" t="s">
        <v>141</v>
      </c>
      <c r="D43" s="4" t="s">
        <v>142</v>
      </c>
      <c r="E43" s="10" t="s">
        <v>5</v>
      </c>
      <c r="F43" s="4" t="s">
        <v>33</v>
      </c>
      <c r="G43" s="4">
        <v>5</v>
      </c>
      <c r="H43" s="4"/>
    </row>
    <row r="44">
      <c r="A44" s="4" t="s">
        <v>13</v>
      </c>
      <c r="B44" s="4" t="s">
        <v>143</v>
      </c>
      <c r="C44" s="4" t="s">
        <v>144</v>
      </c>
      <c r="D44" s="4" t="s">
        <v>145</v>
      </c>
      <c r="E44" s="10" t="s">
        <v>5</v>
      </c>
      <c r="F44" s="4" t="s">
        <v>33</v>
      </c>
      <c r="G44" s="4">
        <v>5</v>
      </c>
      <c r="H44" s="4"/>
    </row>
    <row r="45">
      <c r="A45" s="4" t="s">
        <v>13</v>
      </c>
      <c r="B45" s="4" t="s">
        <v>146</v>
      </c>
      <c r="C45" s="4" t="s">
        <v>147</v>
      </c>
      <c r="D45" s="4" t="s">
        <v>33</v>
      </c>
      <c r="E45" s="12" t="s">
        <v>7</v>
      </c>
      <c r="F45" s="4" t="s">
        <v>33</v>
      </c>
      <c r="G45" s="4">
        <v>4</v>
      </c>
      <c r="H45" s="4"/>
    </row>
    <row r="46">
      <c r="A46" s="4" t="s">
        <v>13</v>
      </c>
      <c r="B46" s="4" t="s">
        <v>148</v>
      </c>
      <c r="C46" s="4" t="s">
        <v>149</v>
      </c>
      <c r="D46" s="4" t="s">
        <v>150</v>
      </c>
      <c r="E46" s="10" t="s">
        <v>5</v>
      </c>
      <c r="F46" s="4" t="s">
        <v>33</v>
      </c>
      <c r="G46" s="4">
        <v>5</v>
      </c>
      <c r="H46" s="4"/>
    </row>
    <row r="47">
      <c r="A47" s="4" t="s">
        <v>13</v>
      </c>
      <c r="B47" s="4" t="s">
        <v>151</v>
      </c>
      <c r="C47" s="4" t="s">
        <v>152</v>
      </c>
      <c r="D47" s="4" t="s">
        <v>33</v>
      </c>
      <c r="E47" s="12" t="s">
        <v>7</v>
      </c>
      <c r="F47" s="4" t="s">
        <v>33</v>
      </c>
      <c r="G47" s="4">
        <v>5</v>
      </c>
      <c r="H47" s="4"/>
    </row>
    <row r="48">
      <c r="A48" s="4" t="s">
        <v>13</v>
      </c>
      <c r="B48" s="4" t="s">
        <v>153</v>
      </c>
      <c r="C48" s="4" t="s">
        <v>154</v>
      </c>
      <c r="D48" s="4" t="s">
        <v>33</v>
      </c>
      <c r="E48" s="12" t="s">
        <v>7</v>
      </c>
      <c r="F48" s="4" t="s">
        <v>33</v>
      </c>
      <c r="G48" s="4">
        <v>5</v>
      </c>
      <c r="H48" s="4"/>
    </row>
    <row r="49">
      <c r="A49" s="4" t="s">
        <v>13</v>
      </c>
      <c r="B49" s="4" t="s">
        <v>155</v>
      </c>
      <c r="C49" s="4" t="s">
        <v>156</v>
      </c>
      <c r="D49" s="4" t="s">
        <v>33</v>
      </c>
      <c r="E49" s="12" t="s">
        <v>7</v>
      </c>
      <c r="F49" s="4" t="s">
        <v>33</v>
      </c>
      <c r="G49" s="4">
        <v>5</v>
      </c>
      <c r="H49" s="4"/>
    </row>
    <row r="50">
      <c r="A50" s="4" t="s">
        <v>13</v>
      </c>
      <c r="B50" s="4" t="s">
        <v>157</v>
      </c>
      <c r="C50" s="4" t="s">
        <v>158</v>
      </c>
      <c r="D50" s="4" t="s">
        <v>159</v>
      </c>
      <c r="E50" s="10" t="s">
        <v>5</v>
      </c>
      <c r="F50" s="4" t="s">
        <v>33</v>
      </c>
      <c r="G50" s="4">
        <v>5</v>
      </c>
      <c r="H50" s="4"/>
    </row>
    <row r="51">
      <c r="A51" s="4" t="s">
        <v>13</v>
      </c>
      <c r="B51" s="4" t="s">
        <v>160</v>
      </c>
      <c r="C51" s="4" t="s">
        <v>161</v>
      </c>
      <c r="D51" s="4" t="s">
        <v>33</v>
      </c>
      <c r="E51" s="12" t="s">
        <v>7</v>
      </c>
      <c r="F51" s="4" t="s">
        <v>33</v>
      </c>
      <c r="G51" s="4">
        <v>5</v>
      </c>
      <c r="H51" s="4"/>
    </row>
    <row r="52">
      <c r="A52" s="4" t="s">
        <v>13</v>
      </c>
      <c r="B52" s="4" t="s">
        <v>162</v>
      </c>
      <c r="C52" s="4" t="s">
        <v>163</v>
      </c>
      <c r="D52" s="4" t="s">
        <v>164</v>
      </c>
      <c r="E52" s="11" t="s">
        <v>6</v>
      </c>
      <c r="F52" s="4" t="s">
        <v>33</v>
      </c>
      <c r="G52" s="4">
        <v>5</v>
      </c>
      <c r="H52" s="4"/>
    </row>
    <row r="53">
      <c r="A53" s="4" t="s">
        <v>13</v>
      </c>
      <c r="B53" s="4" t="s">
        <v>165</v>
      </c>
      <c r="C53" s="4" t="s">
        <v>166</v>
      </c>
      <c r="D53" s="4" t="s">
        <v>33</v>
      </c>
      <c r="E53" s="12" t="s">
        <v>7</v>
      </c>
      <c r="F53" s="4" t="s">
        <v>33</v>
      </c>
      <c r="G53" s="4">
        <v>5</v>
      </c>
      <c r="H53" s="4"/>
    </row>
    <row r="54">
      <c r="A54" s="4" t="s">
        <v>13</v>
      </c>
      <c r="B54" s="4" t="s">
        <v>167</v>
      </c>
      <c r="C54" s="4" t="s">
        <v>168</v>
      </c>
      <c r="D54" s="4" t="s">
        <v>33</v>
      </c>
      <c r="E54" s="12" t="s">
        <v>7</v>
      </c>
      <c r="F54" s="4" t="s">
        <v>33</v>
      </c>
      <c r="G54" s="4">
        <v>5</v>
      </c>
      <c r="H54" s="4"/>
    </row>
    <row r="55">
      <c r="A55" s="4" t="s">
        <v>13</v>
      </c>
      <c r="B55" s="4" t="s">
        <v>169</v>
      </c>
      <c r="C55" s="4" t="s">
        <v>170</v>
      </c>
      <c r="D55" s="4" t="s">
        <v>171</v>
      </c>
      <c r="E55" s="10" t="s">
        <v>5</v>
      </c>
      <c r="F55" s="4" t="s">
        <v>33</v>
      </c>
      <c r="G55" s="4">
        <v>5</v>
      </c>
      <c r="H55" s="4"/>
    </row>
    <row r="56">
      <c r="A56" s="4" t="s">
        <v>13</v>
      </c>
      <c r="B56" s="4" t="s">
        <v>172</v>
      </c>
      <c r="C56" s="4" t="s">
        <v>173</v>
      </c>
      <c r="D56" s="4" t="s">
        <v>33</v>
      </c>
      <c r="E56" s="12" t="s">
        <v>7</v>
      </c>
      <c r="F56" s="4" t="s">
        <v>33</v>
      </c>
      <c r="G56" s="4">
        <v>5</v>
      </c>
      <c r="H56" s="4"/>
    </row>
    <row r="57">
      <c r="A57" s="4" t="s">
        <v>13</v>
      </c>
      <c r="B57" s="4" t="s">
        <v>174</v>
      </c>
      <c r="C57" s="4" t="s">
        <v>175</v>
      </c>
      <c r="D57" s="4" t="s">
        <v>176</v>
      </c>
      <c r="E57" s="10" t="s">
        <v>5</v>
      </c>
      <c r="F57" s="4" t="s">
        <v>177</v>
      </c>
      <c r="G57" s="4">
        <v>5</v>
      </c>
      <c r="H57" s="4"/>
    </row>
    <row r="58">
      <c r="A58" s="4" t="s">
        <v>13</v>
      </c>
      <c r="B58" s="4" t="s">
        <v>178</v>
      </c>
      <c r="C58" s="4" t="s">
        <v>179</v>
      </c>
      <c r="D58" s="4" t="s">
        <v>180</v>
      </c>
      <c r="E58" s="10" t="s">
        <v>5</v>
      </c>
      <c r="F58" s="4" t="s">
        <v>33</v>
      </c>
      <c r="G58" s="4">
        <v>5</v>
      </c>
      <c r="H58" s="4"/>
    </row>
    <row r="59">
      <c r="A59" s="4" t="s">
        <v>13</v>
      </c>
      <c r="B59" s="4" t="s">
        <v>181</v>
      </c>
      <c r="C59" s="4" t="s">
        <v>182</v>
      </c>
      <c r="D59" s="4" t="s">
        <v>33</v>
      </c>
      <c r="E59" s="12" t="s">
        <v>7</v>
      </c>
      <c r="F59" s="4" t="s">
        <v>33</v>
      </c>
      <c r="G59" s="4">
        <v>4</v>
      </c>
      <c r="H59" s="4"/>
    </row>
    <row r="60">
      <c r="A60" s="4" t="s">
        <v>13</v>
      </c>
      <c r="B60" s="4" t="s">
        <v>183</v>
      </c>
      <c r="C60" s="4" t="s">
        <v>184</v>
      </c>
      <c r="D60" s="4" t="s">
        <v>185</v>
      </c>
      <c r="E60" s="11" t="s">
        <v>6</v>
      </c>
      <c r="F60" s="4" t="s">
        <v>33</v>
      </c>
      <c r="G60" s="4">
        <v>4</v>
      </c>
      <c r="H60" s="4"/>
    </row>
    <row r="61">
      <c r="A61" s="4" t="s">
        <v>13</v>
      </c>
      <c r="B61" s="4" t="s">
        <v>186</v>
      </c>
      <c r="C61" s="4" t="s">
        <v>187</v>
      </c>
      <c r="D61" s="4" t="s">
        <v>188</v>
      </c>
      <c r="E61" s="10" t="s">
        <v>5</v>
      </c>
      <c r="F61" s="4" t="s">
        <v>33</v>
      </c>
      <c r="G61" s="4">
        <v>5</v>
      </c>
      <c r="H61" s="4"/>
    </row>
    <row r="62">
      <c r="A62" s="4" t="s">
        <v>13</v>
      </c>
      <c r="B62" s="4" t="s">
        <v>189</v>
      </c>
      <c r="C62" s="4" t="s">
        <v>190</v>
      </c>
      <c r="D62" s="4" t="s">
        <v>33</v>
      </c>
      <c r="E62" s="12" t="s">
        <v>7</v>
      </c>
      <c r="F62" s="4" t="s">
        <v>33</v>
      </c>
      <c r="G62" s="4">
        <v>4</v>
      </c>
      <c r="H62" s="4"/>
    </row>
    <row r="63">
      <c r="A63" s="4" t="s">
        <v>13</v>
      </c>
      <c r="B63" s="4" t="s">
        <v>191</v>
      </c>
      <c r="C63" s="4" t="s">
        <v>192</v>
      </c>
      <c r="D63" s="4" t="s">
        <v>33</v>
      </c>
      <c r="E63" s="12" t="s">
        <v>7</v>
      </c>
      <c r="F63" s="4" t="s">
        <v>33</v>
      </c>
      <c r="G63" s="4">
        <v>4</v>
      </c>
      <c r="H63" s="4"/>
    </row>
    <row r="64">
      <c r="A64" s="4" t="s">
        <v>13</v>
      </c>
      <c r="B64" s="4" t="s">
        <v>193</v>
      </c>
      <c r="C64" s="4" t="s">
        <v>194</v>
      </c>
      <c r="D64" s="4" t="s">
        <v>33</v>
      </c>
      <c r="E64" s="12" t="s">
        <v>7</v>
      </c>
      <c r="F64" s="4" t="s">
        <v>33</v>
      </c>
      <c r="G64" s="4">
        <v>4</v>
      </c>
      <c r="H64" s="4"/>
    </row>
    <row r="65">
      <c r="A65" s="4" t="s">
        <v>13</v>
      </c>
      <c r="B65" s="4" t="s">
        <v>195</v>
      </c>
      <c r="C65" s="4" t="s">
        <v>196</v>
      </c>
      <c r="D65" s="4" t="s">
        <v>33</v>
      </c>
      <c r="E65" s="12" t="s">
        <v>7</v>
      </c>
      <c r="F65" s="4" t="s">
        <v>33</v>
      </c>
      <c r="G65" s="4">
        <v>4</v>
      </c>
      <c r="H65" s="4"/>
    </row>
    <row r="66">
      <c r="A66" s="4" t="s">
        <v>13</v>
      </c>
      <c r="B66" s="4" t="s">
        <v>197</v>
      </c>
      <c r="C66" s="4" t="s">
        <v>198</v>
      </c>
      <c r="D66" s="4" t="s">
        <v>199</v>
      </c>
      <c r="E66" s="10" t="s">
        <v>5</v>
      </c>
      <c r="F66" s="4" t="s">
        <v>33</v>
      </c>
      <c r="G66" s="4">
        <v>5</v>
      </c>
      <c r="H66" s="4"/>
    </row>
    <row r="67">
      <c r="A67" s="4" t="s">
        <v>13</v>
      </c>
      <c r="B67" s="4" t="s">
        <v>200</v>
      </c>
      <c r="C67" s="4" t="s">
        <v>201</v>
      </c>
      <c r="D67" s="4" t="s">
        <v>202</v>
      </c>
      <c r="E67" s="10" t="s">
        <v>5</v>
      </c>
      <c r="F67" s="4" t="s">
        <v>33</v>
      </c>
      <c r="G67" s="4">
        <v>5</v>
      </c>
      <c r="H67" s="4"/>
    </row>
    <row r="68">
      <c r="A68" s="4" t="s">
        <v>13</v>
      </c>
      <c r="B68" s="4" t="s">
        <v>203</v>
      </c>
      <c r="C68" s="4" t="s">
        <v>204</v>
      </c>
      <c r="D68" s="4" t="s">
        <v>33</v>
      </c>
      <c r="E68" s="12" t="s">
        <v>7</v>
      </c>
      <c r="F68" s="4" t="s">
        <v>33</v>
      </c>
      <c r="G68" s="4">
        <v>4</v>
      </c>
      <c r="H68" s="4"/>
    </row>
    <row r="69">
      <c r="A69" s="4" t="s">
        <v>13</v>
      </c>
      <c r="B69" s="4" t="s">
        <v>205</v>
      </c>
      <c r="C69" s="4" t="s">
        <v>206</v>
      </c>
      <c r="D69" s="4" t="s">
        <v>33</v>
      </c>
      <c r="E69" s="12" t="s">
        <v>7</v>
      </c>
      <c r="F69" s="4" t="s">
        <v>33</v>
      </c>
      <c r="G69" s="4">
        <v>4</v>
      </c>
      <c r="H69" s="4"/>
    </row>
    <row r="70">
      <c r="A70" s="4" t="s">
        <v>13</v>
      </c>
      <c r="B70" s="4" t="s">
        <v>207</v>
      </c>
      <c r="C70" s="4" t="s">
        <v>208</v>
      </c>
      <c r="D70" s="4" t="s">
        <v>209</v>
      </c>
      <c r="E70" s="11" t="s">
        <v>6</v>
      </c>
      <c r="F70" s="4" t="s">
        <v>33</v>
      </c>
      <c r="G70" s="4">
        <v>4</v>
      </c>
      <c r="H70" s="4"/>
    </row>
    <row r="71">
      <c r="A71" s="4" t="s">
        <v>13</v>
      </c>
      <c r="B71" s="4" t="s">
        <v>210</v>
      </c>
      <c r="C71" s="4" t="s">
        <v>211</v>
      </c>
      <c r="D71" s="4" t="s">
        <v>212</v>
      </c>
      <c r="E71" s="10" t="s">
        <v>5</v>
      </c>
      <c r="F71" s="4" t="s">
        <v>33</v>
      </c>
      <c r="G71" s="4">
        <v>5</v>
      </c>
      <c r="H71" s="4"/>
    </row>
    <row r="72">
      <c r="A72" s="4" t="s">
        <v>13</v>
      </c>
      <c r="B72" s="4" t="s">
        <v>213</v>
      </c>
      <c r="C72" s="4" t="s">
        <v>214</v>
      </c>
      <c r="D72" s="4" t="s">
        <v>33</v>
      </c>
      <c r="E72" s="12" t="s">
        <v>7</v>
      </c>
      <c r="F72" s="4" t="s">
        <v>33</v>
      </c>
      <c r="G72" s="4">
        <v>4</v>
      </c>
      <c r="H72" s="4"/>
    </row>
    <row r="73">
      <c r="A73" s="4" t="s">
        <v>13</v>
      </c>
      <c r="B73" s="4" t="s">
        <v>215</v>
      </c>
      <c r="C73" s="4" t="s">
        <v>216</v>
      </c>
      <c r="D73" s="4" t="s">
        <v>33</v>
      </c>
      <c r="E73" s="12" t="s">
        <v>7</v>
      </c>
      <c r="F73" s="4" t="s">
        <v>33</v>
      </c>
      <c r="G73" s="4">
        <v>4</v>
      </c>
      <c r="H73" s="4"/>
    </row>
    <row r="74">
      <c r="A74" s="4" t="s">
        <v>13</v>
      </c>
      <c r="B74" s="4" t="s">
        <v>217</v>
      </c>
      <c r="C74" s="4" t="s">
        <v>218</v>
      </c>
      <c r="D74" s="4" t="s">
        <v>219</v>
      </c>
      <c r="E74" s="10" t="s">
        <v>5</v>
      </c>
      <c r="F74" s="4" t="s">
        <v>33</v>
      </c>
      <c r="G74" s="4">
        <v>5</v>
      </c>
      <c r="H74" s="4"/>
    </row>
    <row r="75">
      <c r="A75" s="4" t="s">
        <v>13</v>
      </c>
      <c r="B75" s="4" t="s">
        <v>220</v>
      </c>
      <c r="C75" s="4" t="s">
        <v>221</v>
      </c>
      <c r="D75" s="4" t="s">
        <v>33</v>
      </c>
      <c r="E75" s="12" t="s">
        <v>7</v>
      </c>
      <c r="F75" s="4" t="s">
        <v>33</v>
      </c>
      <c r="G75" s="4">
        <v>5</v>
      </c>
      <c r="H75" s="4"/>
    </row>
    <row r="76">
      <c r="A76" s="4" t="s">
        <v>13</v>
      </c>
      <c r="B76" s="4" t="s">
        <v>222</v>
      </c>
      <c r="C76" s="4" t="s">
        <v>223</v>
      </c>
      <c r="D76" s="4" t="s">
        <v>224</v>
      </c>
      <c r="E76" s="11" t="s">
        <v>6</v>
      </c>
      <c r="F76" s="4" t="s">
        <v>37</v>
      </c>
      <c r="G76" s="4">
        <v>4</v>
      </c>
      <c r="H76" s="4"/>
    </row>
    <row r="77">
      <c r="A77" s="4" t="s">
        <v>13</v>
      </c>
      <c r="B77" s="4" t="s">
        <v>225</v>
      </c>
      <c r="C77" s="4" t="s">
        <v>226</v>
      </c>
      <c r="D77" s="4" t="s">
        <v>33</v>
      </c>
      <c r="E77" s="12" t="s">
        <v>7</v>
      </c>
      <c r="F77" s="4" t="s">
        <v>33</v>
      </c>
      <c r="G77" s="4">
        <v>5</v>
      </c>
      <c r="H77" s="4"/>
    </row>
    <row r="78">
      <c r="A78" s="4" t="s">
        <v>13</v>
      </c>
      <c r="B78" s="4" t="s">
        <v>227</v>
      </c>
      <c r="C78" s="4" t="s">
        <v>228</v>
      </c>
      <c r="D78" s="4" t="s">
        <v>33</v>
      </c>
      <c r="E78" s="12" t="s">
        <v>7</v>
      </c>
      <c r="F78" s="4" t="s">
        <v>33</v>
      </c>
      <c r="G78" s="4">
        <v>5</v>
      </c>
      <c r="H78" s="4"/>
    </row>
    <row r="79">
      <c r="A79" s="4" t="s">
        <v>13</v>
      </c>
      <c r="B79" s="4" t="s">
        <v>229</v>
      </c>
      <c r="C79" s="4" t="s">
        <v>230</v>
      </c>
      <c r="D79" s="4" t="s">
        <v>231</v>
      </c>
      <c r="E79" s="10" t="s">
        <v>5</v>
      </c>
      <c r="F79" s="4" t="s">
        <v>33</v>
      </c>
      <c r="G79" s="4">
        <v>5</v>
      </c>
      <c r="H79" s="4"/>
    </row>
    <row r="80">
      <c r="A80" s="4" t="s">
        <v>14</v>
      </c>
      <c r="B80" s="4" t="s">
        <v>232</v>
      </c>
      <c r="C80" s="4" t="s">
        <v>233</v>
      </c>
      <c r="D80" s="4" t="s">
        <v>33</v>
      </c>
      <c r="E80" s="12" t="s">
        <v>7</v>
      </c>
      <c r="F80" s="4" t="s">
        <v>33</v>
      </c>
      <c r="G80" s="4">
        <v>2</v>
      </c>
      <c r="H80" s="4"/>
    </row>
    <row r="81">
      <c r="A81" s="4" t="s">
        <v>14</v>
      </c>
      <c r="B81" s="4" t="s">
        <v>234</v>
      </c>
      <c r="C81" s="4" t="s">
        <v>235</v>
      </c>
      <c r="D81" s="4" t="s">
        <v>33</v>
      </c>
      <c r="E81" s="12" t="s">
        <v>7</v>
      </c>
      <c r="F81" s="4" t="s">
        <v>33</v>
      </c>
      <c r="G81" s="4">
        <v>2</v>
      </c>
      <c r="H81" s="4"/>
    </row>
    <row r="82">
      <c r="A82" s="4" t="s">
        <v>14</v>
      </c>
      <c r="B82" s="4" t="s">
        <v>236</v>
      </c>
      <c r="C82" s="4" t="s">
        <v>237</v>
      </c>
      <c r="D82" s="4" t="s">
        <v>33</v>
      </c>
      <c r="E82" s="12" t="s">
        <v>7</v>
      </c>
      <c r="F82" s="4" t="s">
        <v>33</v>
      </c>
      <c r="G82" s="4">
        <v>2</v>
      </c>
      <c r="H82" s="4"/>
    </row>
    <row r="83">
      <c r="A83" s="4" t="s">
        <v>14</v>
      </c>
      <c r="B83" s="4" t="s">
        <v>238</v>
      </c>
      <c r="C83" s="4" t="s">
        <v>239</v>
      </c>
      <c r="D83" s="4" t="s">
        <v>33</v>
      </c>
      <c r="E83" s="12" t="s">
        <v>7</v>
      </c>
      <c r="F83" s="4" t="s">
        <v>33</v>
      </c>
      <c r="G83" s="4">
        <v>2</v>
      </c>
      <c r="H83" s="4"/>
    </row>
    <row r="84">
      <c r="A84" s="4" t="s">
        <v>14</v>
      </c>
      <c r="B84" s="4" t="s">
        <v>240</v>
      </c>
      <c r="C84" s="4" t="s">
        <v>241</v>
      </c>
      <c r="D84" s="4" t="s">
        <v>242</v>
      </c>
      <c r="E84" s="11" t="s">
        <v>6</v>
      </c>
      <c r="F84" s="4" t="s">
        <v>33</v>
      </c>
      <c r="G84" s="4">
        <v>2</v>
      </c>
      <c r="H84" s="4"/>
    </row>
    <row r="85">
      <c r="A85" s="4" t="s">
        <v>14</v>
      </c>
      <c r="B85" s="4" t="s">
        <v>243</v>
      </c>
      <c r="C85" s="4" t="s">
        <v>244</v>
      </c>
      <c r="D85" s="4" t="s">
        <v>33</v>
      </c>
      <c r="E85" s="12" t="s">
        <v>7</v>
      </c>
      <c r="F85" s="4" t="s">
        <v>33</v>
      </c>
      <c r="G85" s="4">
        <v>2</v>
      </c>
      <c r="H85" s="4"/>
    </row>
    <row r="86">
      <c r="A86" s="4" t="s">
        <v>14</v>
      </c>
      <c r="B86" s="4" t="s">
        <v>245</v>
      </c>
      <c r="C86" s="4" t="s">
        <v>246</v>
      </c>
      <c r="D86" s="4" t="s">
        <v>33</v>
      </c>
      <c r="E86" s="12" t="s">
        <v>7</v>
      </c>
      <c r="F86" s="4" t="s">
        <v>33</v>
      </c>
      <c r="G86" s="4">
        <v>2</v>
      </c>
      <c r="H86" s="4"/>
    </row>
    <row r="87">
      <c r="A87" s="4" t="s">
        <v>14</v>
      </c>
      <c r="B87" s="4" t="s">
        <v>247</v>
      </c>
      <c r="C87" s="4" t="s">
        <v>248</v>
      </c>
      <c r="D87" s="4" t="s">
        <v>33</v>
      </c>
      <c r="E87" s="12" t="s">
        <v>7</v>
      </c>
      <c r="F87" s="4" t="s">
        <v>33</v>
      </c>
      <c r="G87" s="4">
        <v>2</v>
      </c>
      <c r="H87" s="4"/>
    </row>
    <row r="88">
      <c r="A88" s="4" t="s">
        <v>14</v>
      </c>
      <c r="B88" s="4" t="s">
        <v>249</v>
      </c>
      <c r="C88" s="4" t="s">
        <v>250</v>
      </c>
      <c r="D88" s="4" t="s">
        <v>33</v>
      </c>
      <c r="E88" s="12" t="s">
        <v>7</v>
      </c>
      <c r="F88" s="4" t="s">
        <v>33</v>
      </c>
      <c r="G88" s="4">
        <v>2</v>
      </c>
      <c r="H88" s="4"/>
    </row>
    <row r="89">
      <c r="A89" s="4" t="s">
        <v>14</v>
      </c>
      <c r="B89" s="4" t="s">
        <v>251</v>
      </c>
      <c r="C89" s="4" t="s">
        <v>252</v>
      </c>
      <c r="D89" s="4" t="s">
        <v>33</v>
      </c>
      <c r="E89" s="12" t="s">
        <v>7</v>
      </c>
      <c r="F89" s="4" t="s">
        <v>33</v>
      </c>
      <c r="G89" s="4">
        <v>2</v>
      </c>
      <c r="H89" s="4"/>
    </row>
    <row r="90">
      <c r="A90" s="4" t="s">
        <v>14</v>
      </c>
      <c r="B90" s="4" t="s">
        <v>253</v>
      </c>
      <c r="C90" s="4" t="s">
        <v>254</v>
      </c>
      <c r="D90" s="4" t="s">
        <v>33</v>
      </c>
      <c r="E90" s="12" t="s">
        <v>7</v>
      </c>
      <c r="F90" s="4" t="s">
        <v>33</v>
      </c>
      <c r="G90" s="4">
        <v>2</v>
      </c>
      <c r="H90" s="4"/>
    </row>
    <row r="91">
      <c r="A91" s="4" t="s">
        <v>14</v>
      </c>
      <c r="B91" s="4" t="s">
        <v>255</v>
      </c>
      <c r="C91" s="4" t="s">
        <v>256</v>
      </c>
      <c r="D91" s="4" t="s">
        <v>33</v>
      </c>
      <c r="E91" s="12" t="s">
        <v>7</v>
      </c>
      <c r="F91" s="4" t="s">
        <v>33</v>
      </c>
      <c r="G91" s="4">
        <v>2</v>
      </c>
      <c r="H91" s="4"/>
    </row>
    <row r="92">
      <c r="A92" s="4" t="s">
        <v>15</v>
      </c>
      <c r="B92" s="5" t="s">
        <v>257</v>
      </c>
      <c r="C92" s="4" t="s">
        <v>258</v>
      </c>
      <c r="D92" s="4" t="s">
        <v>259</v>
      </c>
      <c r="E92" s="11" t="s">
        <v>6</v>
      </c>
      <c r="F92" s="4" t="s">
        <v>260</v>
      </c>
      <c r="G92" s="4">
        <v>1</v>
      </c>
      <c r="H92" s="4"/>
    </row>
    <row r="93">
      <c r="A93" s="4" t="s">
        <v>15</v>
      </c>
      <c r="B93" s="5" t="s">
        <v>261</v>
      </c>
      <c r="C93" s="4" t="s">
        <v>262</v>
      </c>
      <c r="D93" s="4" t="s">
        <v>263</v>
      </c>
      <c r="E93" s="11" t="s">
        <v>6</v>
      </c>
      <c r="F93" s="4" t="s">
        <v>260</v>
      </c>
      <c r="G93" s="4">
        <v>1</v>
      </c>
      <c r="H93" s="4"/>
    </row>
    <row r="94">
      <c r="A94" s="4" t="s">
        <v>15</v>
      </c>
      <c r="B94" s="5" t="s">
        <v>264</v>
      </c>
      <c r="C94" s="4" t="s">
        <v>265</v>
      </c>
      <c r="D94" s="4" t="s">
        <v>266</v>
      </c>
      <c r="E94" s="11" t="s">
        <v>6</v>
      </c>
      <c r="F94" s="4" t="s">
        <v>260</v>
      </c>
      <c r="G94" s="4">
        <v>1</v>
      </c>
      <c r="H94" s="4"/>
    </row>
    <row r="95">
      <c r="A95" s="4" t="s">
        <v>15</v>
      </c>
      <c r="B95" s="5" t="s">
        <v>267</v>
      </c>
      <c r="C95" s="4" t="s">
        <v>268</v>
      </c>
      <c r="D95" s="4" t="s">
        <v>269</v>
      </c>
      <c r="E95" s="11" t="s">
        <v>6</v>
      </c>
      <c r="F95" s="4" t="s">
        <v>260</v>
      </c>
      <c r="G95" s="4">
        <v>1</v>
      </c>
      <c r="H95" s="4"/>
    </row>
    <row r="96">
      <c r="A96" s="4" t="s">
        <v>15</v>
      </c>
      <c r="B96" s="5" t="s">
        <v>270</v>
      </c>
      <c r="C96" s="4" t="s">
        <v>271</v>
      </c>
      <c r="D96" s="4" t="s">
        <v>272</v>
      </c>
      <c r="E96" s="11" t="s">
        <v>6</v>
      </c>
      <c r="F96" s="4" t="s">
        <v>260</v>
      </c>
      <c r="G96" s="4">
        <v>1</v>
      </c>
      <c r="H96" s="4"/>
    </row>
    <row r="97">
      <c r="A97" s="4" t="s">
        <v>15</v>
      </c>
      <c r="B97" s="5" t="s">
        <v>273</v>
      </c>
      <c r="C97" s="4" t="s">
        <v>274</v>
      </c>
      <c r="D97" s="4" t="s">
        <v>275</v>
      </c>
      <c r="E97" s="11" t="s">
        <v>6</v>
      </c>
      <c r="F97" s="4" t="s">
        <v>260</v>
      </c>
      <c r="G97" s="4">
        <v>1</v>
      </c>
      <c r="H97" s="4"/>
    </row>
    <row r="98">
      <c r="A98" s="4" t="s">
        <v>15</v>
      </c>
      <c r="B98" s="5" t="s">
        <v>276</v>
      </c>
      <c r="C98" s="4" t="s">
        <v>277</v>
      </c>
      <c r="D98" s="4" t="s">
        <v>33</v>
      </c>
      <c r="E98" s="12" t="s">
        <v>7</v>
      </c>
      <c r="F98" s="4" t="s">
        <v>33</v>
      </c>
      <c r="G98" s="4">
        <v>1</v>
      </c>
      <c r="H98" s="4"/>
    </row>
    <row r="99">
      <c r="A99" s="4" t="s">
        <v>15</v>
      </c>
      <c r="B99" s="5" t="s">
        <v>278</v>
      </c>
      <c r="C99" s="4" t="s">
        <v>279</v>
      </c>
      <c r="D99" s="4" t="s">
        <v>33</v>
      </c>
      <c r="E99" s="12" t="s">
        <v>7</v>
      </c>
      <c r="F99" s="4" t="s">
        <v>33</v>
      </c>
      <c r="G99" s="4">
        <v>1</v>
      </c>
      <c r="H99" s="4"/>
    </row>
    <row r="100">
      <c r="A100" s="4" t="s">
        <v>15</v>
      </c>
      <c r="B100" s="5" t="s">
        <v>280</v>
      </c>
      <c r="C100" s="4" t="s">
        <v>281</v>
      </c>
      <c r="D100" s="4" t="s">
        <v>33</v>
      </c>
      <c r="E100" s="12" t="s">
        <v>7</v>
      </c>
      <c r="F100" s="4" t="s">
        <v>33</v>
      </c>
      <c r="G100" s="4">
        <v>1</v>
      </c>
      <c r="H100" s="4"/>
    </row>
    <row r="101">
      <c r="A101" s="4" t="s">
        <v>15</v>
      </c>
      <c r="B101" s="5" t="s">
        <v>282</v>
      </c>
      <c r="C101" s="4" t="s">
        <v>283</v>
      </c>
      <c r="D101" s="4" t="s">
        <v>284</v>
      </c>
      <c r="E101" s="11" t="s">
        <v>6</v>
      </c>
      <c r="F101" s="4" t="s">
        <v>33</v>
      </c>
      <c r="G101" s="4">
        <v>1</v>
      </c>
      <c r="H101" s="4"/>
    </row>
    <row r="102">
      <c r="A102" s="4" t="s">
        <v>15</v>
      </c>
      <c r="B102" s="5" t="s">
        <v>285</v>
      </c>
      <c r="C102" s="4" t="s">
        <v>286</v>
      </c>
      <c r="D102" s="4" t="s">
        <v>33</v>
      </c>
      <c r="E102" s="13" t="s">
        <v>8</v>
      </c>
      <c r="F102" s="4" t="s">
        <v>37</v>
      </c>
      <c r="G102" s="4">
        <v>1</v>
      </c>
      <c r="H102" s="4"/>
    </row>
  </sheetData>
  <autoFilter ref="A1:H102"/>
  <dataValidations count="1">
    <dataValidation type="list" sqref="E2:E302">
      <formula1>"Has page,Partial,Missing,Verify,Done"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34" customWidth="1"/>
    <col min="3" max="3" width="26" customWidth="1"/>
    <col min="4" max="4" width="40" customWidth="1"/>
  </cols>
  <sheetData>
    <row r="1">
      <c r="A1" s="3" t="s">
        <v>287</v>
      </c>
      <c r="B1" s="3" t="s">
        <v>288</v>
      </c>
      <c r="C1" s="3" t="s">
        <v>289</v>
      </c>
      <c r="D1" s="3" t="s">
        <v>29</v>
      </c>
    </row>
    <row r="2">
      <c r="A2" s="4" t="s">
        <v>290</v>
      </c>
      <c r="B2" s="4" t="s">
        <v>291</v>
      </c>
      <c r="C2" s="4" t="s">
        <v>292</v>
      </c>
      <c r="D2" s="4"/>
    </row>
    <row r="3">
      <c r="A3" s="4" t="s">
        <v>290</v>
      </c>
      <c r="B3" s="4" t="s">
        <v>293</v>
      </c>
      <c r="C3" s="4" t="s">
        <v>292</v>
      </c>
      <c r="D3" s="4"/>
    </row>
    <row r="4">
      <c r="A4" s="4" t="s">
        <v>290</v>
      </c>
      <c r="B4" s="4" t="s">
        <v>294</v>
      </c>
      <c r="C4" s="4" t="s">
        <v>292</v>
      </c>
      <c r="D4" s="4"/>
    </row>
    <row r="5">
      <c r="A5" s="4" t="s">
        <v>290</v>
      </c>
      <c r="B5" s="4" t="s">
        <v>295</v>
      </c>
      <c r="C5" s="4" t="s">
        <v>292</v>
      </c>
      <c r="D5" s="4"/>
    </row>
    <row r="6">
      <c r="A6" s="4" t="s">
        <v>290</v>
      </c>
      <c r="B6" s="4" t="s">
        <v>296</v>
      </c>
      <c r="C6" s="4" t="s">
        <v>292</v>
      </c>
      <c r="D6" s="4"/>
    </row>
    <row r="7">
      <c r="A7" s="4" t="s">
        <v>290</v>
      </c>
      <c r="B7" s="4" t="s">
        <v>297</v>
      </c>
      <c r="C7" s="4" t="s">
        <v>292</v>
      </c>
      <c r="D7" s="4"/>
    </row>
    <row r="8">
      <c r="A8" s="4" t="s">
        <v>290</v>
      </c>
      <c r="B8" s="4" t="s">
        <v>298</v>
      </c>
      <c r="C8" s="4" t="s">
        <v>292</v>
      </c>
      <c r="D8" s="4"/>
    </row>
    <row r="9">
      <c r="A9" s="4" t="s">
        <v>290</v>
      </c>
      <c r="B9" s="4" t="s">
        <v>299</v>
      </c>
      <c r="C9" s="4" t="s">
        <v>292</v>
      </c>
      <c r="D9" s="4"/>
    </row>
    <row r="10">
      <c r="A10" s="4" t="s">
        <v>290</v>
      </c>
      <c r="B10" s="4" t="s">
        <v>300</v>
      </c>
      <c r="C10" s="4" t="s">
        <v>292</v>
      </c>
      <c r="D10" s="4"/>
    </row>
    <row r="11">
      <c r="A11" s="4" t="s">
        <v>290</v>
      </c>
      <c r="B11" s="4" t="s">
        <v>301</v>
      </c>
      <c r="C11" s="4" t="s">
        <v>292</v>
      </c>
      <c r="D11" s="4"/>
    </row>
    <row r="12">
      <c r="A12" s="4" t="s">
        <v>290</v>
      </c>
      <c r="B12" s="4" t="s">
        <v>302</v>
      </c>
      <c r="C12" s="4" t="s">
        <v>292</v>
      </c>
      <c r="D12" s="4"/>
    </row>
    <row r="13">
      <c r="A13" s="4" t="s">
        <v>290</v>
      </c>
      <c r="B13" s="4" t="s">
        <v>303</v>
      </c>
      <c r="C13" s="4" t="s">
        <v>292</v>
      </c>
      <c r="D13" s="4"/>
    </row>
    <row r="14">
      <c r="A14" s="4" t="s">
        <v>290</v>
      </c>
      <c r="B14" s="4" t="s">
        <v>304</v>
      </c>
      <c r="C14" s="4" t="s">
        <v>292</v>
      </c>
      <c r="D14" s="4"/>
    </row>
    <row r="15">
      <c r="A15" s="4" t="s">
        <v>290</v>
      </c>
      <c r="B15" s="4" t="s">
        <v>305</v>
      </c>
      <c r="C15" s="4" t="s">
        <v>292</v>
      </c>
      <c r="D15" s="4"/>
    </row>
    <row r="16">
      <c r="A16" s="4" t="s">
        <v>290</v>
      </c>
      <c r="B16" s="4" t="s">
        <v>306</v>
      </c>
      <c r="C16" s="4" t="s">
        <v>292</v>
      </c>
      <c r="D16" s="4"/>
    </row>
    <row r="17">
      <c r="A17" s="4" t="s">
        <v>290</v>
      </c>
      <c r="B17" s="4" t="s">
        <v>307</v>
      </c>
      <c r="C17" s="4" t="s">
        <v>292</v>
      </c>
      <c r="D17" s="4"/>
    </row>
    <row r="18">
      <c r="A18" s="4" t="s">
        <v>290</v>
      </c>
      <c r="B18" s="4" t="s">
        <v>308</v>
      </c>
      <c r="C18" s="4" t="s">
        <v>292</v>
      </c>
      <c r="D18" s="4"/>
    </row>
    <row r="19">
      <c r="A19" s="4" t="s">
        <v>290</v>
      </c>
      <c r="B19" s="4" t="s">
        <v>309</v>
      </c>
      <c r="C19" s="4" t="s">
        <v>292</v>
      </c>
      <c r="D19" s="4"/>
    </row>
    <row r="20">
      <c r="A20" s="4" t="s">
        <v>290</v>
      </c>
      <c r="B20" s="4" t="s">
        <v>310</v>
      </c>
      <c r="C20" s="4" t="s">
        <v>292</v>
      </c>
      <c r="D20" s="4"/>
    </row>
    <row r="21">
      <c r="A21" s="4" t="s">
        <v>290</v>
      </c>
      <c r="B21" s="4" t="s">
        <v>311</v>
      </c>
      <c r="C21" s="4" t="s">
        <v>292</v>
      </c>
      <c r="D21" s="4"/>
    </row>
    <row r="22">
      <c r="A22" s="4" t="s">
        <v>290</v>
      </c>
      <c r="B22" s="4" t="s">
        <v>312</v>
      </c>
      <c r="C22" s="4" t="s">
        <v>292</v>
      </c>
      <c r="D22" s="4"/>
    </row>
    <row r="23">
      <c r="A23" s="4" t="s">
        <v>290</v>
      </c>
      <c r="B23" s="4" t="s">
        <v>313</v>
      </c>
      <c r="C23" s="4" t="s">
        <v>292</v>
      </c>
      <c r="D23" s="4"/>
    </row>
    <row r="24">
      <c r="A24" s="4" t="s">
        <v>290</v>
      </c>
      <c r="B24" s="4" t="s">
        <v>314</v>
      </c>
      <c r="C24" s="4" t="s">
        <v>292</v>
      </c>
      <c r="D24" s="4"/>
    </row>
    <row r="25">
      <c r="A25" s="4" t="s">
        <v>290</v>
      </c>
      <c r="B25" s="4" t="s">
        <v>315</v>
      </c>
      <c r="C25" s="4" t="s">
        <v>292</v>
      </c>
      <c r="D25" s="4"/>
    </row>
    <row r="26">
      <c r="A26" s="4" t="s">
        <v>290</v>
      </c>
      <c r="B26" s="4" t="s">
        <v>316</v>
      </c>
      <c r="C26" s="4" t="s">
        <v>292</v>
      </c>
      <c r="D26" s="4"/>
    </row>
    <row r="27">
      <c r="A27" s="4" t="s">
        <v>290</v>
      </c>
      <c r="B27" s="4" t="s">
        <v>317</v>
      </c>
      <c r="C27" s="4" t="s">
        <v>292</v>
      </c>
      <c r="D27" s="4"/>
    </row>
    <row r="28">
      <c r="A28" s="4" t="s">
        <v>290</v>
      </c>
      <c r="B28" s="4" t="s">
        <v>318</v>
      </c>
      <c r="C28" s="4" t="s">
        <v>292</v>
      </c>
      <c r="D28" s="4"/>
    </row>
    <row r="29">
      <c r="A29" s="4" t="s">
        <v>290</v>
      </c>
      <c r="B29" s="4" t="s">
        <v>319</v>
      </c>
      <c r="C29" s="4" t="s">
        <v>292</v>
      </c>
      <c r="D29" s="4"/>
    </row>
    <row r="30">
      <c r="A30" s="4" t="s">
        <v>290</v>
      </c>
      <c r="B30" s="4" t="s">
        <v>320</v>
      </c>
      <c r="C30" s="4" t="s">
        <v>292</v>
      </c>
      <c r="D30" s="4"/>
    </row>
    <row r="31">
      <c r="A31" s="4" t="s">
        <v>290</v>
      </c>
      <c r="B31" s="4" t="s">
        <v>321</v>
      </c>
      <c r="C31" s="4" t="s">
        <v>292</v>
      </c>
      <c r="D31" s="4"/>
    </row>
    <row r="32">
      <c r="A32" s="4" t="s">
        <v>290</v>
      </c>
      <c r="B32" s="4" t="s">
        <v>322</v>
      </c>
      <c r="C32" s="4" t="s">
        <v>292</v>
      </c>
      <c r="D32" s="4"/>
    </row>
    <row r="33">
      <c r="A33" s="4" t="s">
        <v>290</v>
      </c>
      <c r="B33" s="4" t="s">
        <v>323</v>
      </c>
      <c r="C33" s="4" t="s">
        <v>292</v>
      </c>
      <c r="D33" s="4"/>
    </row>
    <row r="34">
      <c r="A34" s="4" t="s">
        <v>290</v>
      </c>
      <c r="B34" s="4" t="s">
        <v>324</v>
      </c>
      <c r="C34" s="4" t="s">
        <v>292</v>
      </c>
      <c r="D34" s="4"/>
    </row>
    <row r="35">
      <c r="A35" s="4" t="s">
        <v>290</v>
      </c>
      <c r="B35" s="4" t="s">
        <v>325</v>
      </c>
      <c r="C35" s="4" t="s">
        <v>292</v>
      </c>
      <c r="D35" s="4"/>
    </row>
    <row r="36">
      <c r="A36" s="4" t="s">
        <v>290</v>
      </c>
      <c r="B36" s="4" t="s">
        <v>326</v>
      </c>
      <c r="C36" s="4" t="s">
        <v>292</v>
      </c>
      <c r="D36" s="4"/>
    </row>
    <row r="37">
      <c r="A37" s="4" t="s">
        <v>290</v>
      </c>
      <c r="B37" s="4" t="s">
        <v>327</v>
      </c>
      <c r="C37" s="4" t="s">
        <v>292</v>
      </c>
      <c r="D37" s="4"/>
    </row>
    <row r="38">
      <c r="A38" s="4" t="s">
        <v>290</v>
      </c>
      <c r="B38" s="4" t="s">
        <v>328</v>
      </c>
      <c r="C38" s="4" t="s">
        <v>292</v>
      </c>
      <c r="D38" s="4"/>
    </row>
    <row r="39">
      <c r="A39" s="4" t="s">
        <v>290</v>
      </c>
      <c r="B39" s="4" t="s">
        <v>329</v>
      </c>
      <c r="C39" s="4" t="s">
        <v>292</v>
      </c>
      <c r="D39" s="4"/>
    </row>
    <row r="40">
      <c r="A40" s="4" t="s">
        <v>290</v>
      </c>
      <c r="B40" s="4" t="s">
        <v>330</v>
      </c>
      <c r="C40" s="4" t="s">
        <v>292</v>
      </c>
      <c r="D40" s="4"/>
    </row>
    <row r="41">
      <c r="A41" s="4" t="s">
        <v>290</v>
      </c>
      <c r="B41" s="4" t="s">
        <v>331</v>
      </c>
      <c r="C41" s="4" t="s">
        <v>292</v>
      </c>
      <c r="D41" s="4"/>
    </row>
    <row r="42">
      <c r="A42" s="4" t="s">
        <v>290</v>
      </c>
      <c r="B42" s="4" t="s">
        <v>332</v>
      </c>
      <c r="C42" s="4" t="s">
        <v>292</v>
      </c>
      <c r="D42" s="4"/>
    </row>
    <row r="43">
      <c r="A43" s="4" t="s">
        <v>290</v>
      </c>
      <c r="B43" s="4" t="s">
        <v>333</v>
      </c>
      <c r="C43" s="4" t="s">
        <v>292</v>
      </c>
      <c r="D43" s="4"/>
    </row>
    <row r="44">
      <c r="A44" s="4" t="s">
        <v>290</v>
      </c>
      <c r="B44" s="4" t="s">
        <v>334</v>
      </c>
      <c r="C44" s="4" t="s">
        <v>292</v>
      </c>
      <c r="D44" s="4"/>
    </row>
    <row r="45">
      <c r="A45" s="4" t="s">
        <v>335</v>
      </c>
      <c r="B45" s="4" t="s">
        <v>336</v>
      </c>
      <c r="C45" s="4" t="s">
        <v>292</v>
      </c>
      <c r="D45" s="4"/>
    </row>
    <row r="46">
      <c r="A46" s="4" t="s">
        <v>335</v>
      </c>
      <c r="B46" s="4" t="s">
        <v>337</v>
      </c>
      <c r="C46" s="4" t="s">
        <v>292</v>
      </c>
      <c r="D46" s="4"/>
    </row>
    <row r="47">
      <c r="A47" s="4" t="s">
        <v>335</v>
      </c>
      <c r="B47" s="4" t="s">
        <v>338</v>
      </c>
      <c r="C47" s="4" t="s">
        <v>292</v>
      </c>
      <c r="D47" s="4"/>
    </row>
    <row r="48">
      <c r="A48" s="4" t="s">
        <v>335</v>
      </c>
      <c r="B48" s="4" t="s">
        <v>339</v>
      </c>
      <c r="C48" s="4" t="s">
        <v>292</v>
      </c>
      <c r="D48" s="4"/>
    </row>
    <row r="49">
      <c r="A49" s="4" t="s">
        <v>335</v>
      </c>
      <c r="B49" s="4" t="s">
        <v>340</v>
      </c>
      <c r="C49" s="4" t="s">
        <v>292</v>
      </c>
      <c r="D49" s="4"/>
    </row>
    <row r="50">
      <c r="A50" s="4" t="s">
        <v>335</v>
      </c>
      <c r="B50" s="4" t="s">
        <v>341</v>
      </c>
      <c r="C50" s="4" t="s">
        <v>292</v>
      </c>
      <c r="D50" s="4"/>
    </row>
    <row r="51">
      <c r="A51" s="4" t="s">
        <v>335</v>
      </c>
      <c r="B51" s="4" t="s">
        <v>342</v>
      </c>
      <c r="C51" s="4" t="s">
        <v>292</v>
      </c>
      <c r="D51" s="4"/>
    </row>
  </sheetData>
  <autoFilter ref="A1:D51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" customWidth="1"/>
    <col min="2" max="2" width="90" customWidth="1"/>
    <col min="3" max="3" width="11" customWidth="1"/>
    <col min="4" max="4" width="10" customWidth="1"/>
    <col min="5" max="5" width="16" customWidth="1"/>
  </cols>
  <sheetData>
    <row r="1">
      <c r="A1" s="3" t="s">
        <v>28</v>
      </c>
      <c r="B1" s="3" t="s">
        <v>343</v>
      </c>
      <c r="C1" s="3" t="s">
        <v>344</v>
      </c>
      <c r="D1" s="3" t="s">
        <v>7</v>
      </c>
      <c r="E1" s="3" t="s">
        <v>345</v>
      </c>
    </row>
    <row r="2">
      <c r="A2" s="4">
        <v>1</v>
      </c>
      <c r="B2" s="4" t="s">
        <v>346</v>
      </c>
      <c r="C2" s="4">
        <f>COUNTIF('Feature Map'!$G:$G,A2)</f>
        <v>11</v>
      </c>
      <c r="D2" s="4">
        <f>COUNTIFS('Feature Map'!$G:$G,A2,'Feature Map'!$E:$E,"Missing")</f>
        <v>3</v>
      </c>
      <c r="E2" s="4">
        <f>COUNTIFS('Feature Map'!$G:$G,A2,'Feature Map'!$E:$E,"Partial")+COUNTIFS('Feature Map'!$G:$G,A2,'Feature Map'!$E:$E,"Verify")</f>
        <v>8</v>
      </c>
    </row>
    <row r="3">
      <c r="A3" s="4">
        <v>2</v>
      </c>
      <c r="B3" s="4" t="s">
        <v>347</v>
      </c>
      <c r="C3" s="4">
        <f>COUNTIF('Feature Map'!$G:$G,A3)</f>
        <v>27</v>
      </c>
      <c r="D3" s="4">
        <f>COUNTIFS('Feature Map'!$G:$G,A3,'Feature Map'!$E:$E,"Missing")</f>
        <v>18</v>
      </c>
      <c r="E3" s="4">
        <f>COUNTIFS('Feature Map'!$G:$G,A3,'Feature Map'!$E:$E,"Partial")+COUNTIFS('Feature Map'!$G:$G,A3,'Feature Map'!$E:$E,"Verify")</f>
        <v>4</v>
      </c>
    </row>
    <row r="4">
      <c r="A4" s="4">
        <v>3</v>
      </c>
      <c r="B4" s="4" t="s">
        <v>348</v>
      </c>
      <c r="C4" s="4">
        <f>COUNTIF('Feature Map'!$G:$G,A4)</f>
        <v>13</v>
      </c>
      <c r="D4" s="4">
        <f>COUNTIFS('Feature Map'!$G:$G,A4,'Feature Map'!$E:$E,"Missing")</f>
        <v>6</v>
      </c>
      <c r="E4" s="4">
        <f>COUNTIFS('Feature Map'!$G:$G,A4,'Feature Map'!$E:$E,"Partial")+COUNTIFS('Feature Map'!$G:$G,A4,'Feature Map'!$E:$E,"Verify")</f>
        <v>3</v>
      </c>
    </row>
    <row r="5">
      <c r="A5" s="4">
        <v>4</v>
      </c>
      <c r="B5" s="4" t="s">
        <v>349</v>
      </c>
      <c r="C5" s="4">
        <f>COUNTIF('Feature Map'!$G:$G,A5)</f>
        <v>13</v>
      </c>
      <c r="D5" s="4">
        <f>COUNTIFS('Feature Map'!$G:$G,A5,'Feature Map'!$E:$E,"Missing")</f>
        <v>10</v>
      </c>
      <c r="E5" s="4">
        <f>COUNTIFS('Feature Map'!$G:$G,A5,'Feature Map'!$E:$E,"Partial")+COUNTIFS('Feature Map'!$G:$G,A5,'Feature Map'!$E:$E,"Verify")</f>
        <v>3</v>
      </c>
    </row>
    <row r="6">
      <c r="A6" s="4">
        <v>5</v>
      </c>
      <c r="B6" s="4" t="s">
        <v>350</v>
      </c>
      <c r="C6" s="4">
        <f>COUNTIF('Feature Map'!$G:$G,A6)</f>
        <v>33</v>
      </c>
      <c r="D6" s="4">
        <f>COUNTIFS('Feature Map'!$G:$G,A6,'Feature Map'!$E:$E,"Missing")</f>
        <v>10</v>
      </c>
      <c r="E6" s="4">
        <f>COUNTIFS('Feature Map'!$G:$G,A6,'Feature Map'!$E:$E,"Partial")+COUNTIFS('Feature Map'!$G:$G,A6,'Feature Map'!$E:$E,"Verify")</f>
        <v>3</v>
      </c>
    </row>
    <row r="7">
      <c r="A7" s="4">
        <v>6</v>
      </c>
      <c r="B7" s="4" t="s">
        <v>351</v>
      </c>
      <c r="C7" s="4">
        <f>COUNTIF('Feature Map'!$G:$G,A7)</f>
        <v>4</v>
      </c>
      <c r="D7" s="4">
        <f>COUNTIFS('Feature Map'!$G:$G,A7,'Feature Map'!$E:$E,"Missing")</f>
        <v>1</v>
      </c>
      <c r="E7" s="4">
        <f>COUNTIFS('Feature Map'!$G:$G,A7,'Feature Map'!$E:$E,"Partial")+COUNTIFS('Feature Map'!$G:$G,A7,'Feature Map'!$E:$E,"Verify")</f>
        <v>1</v>
      </c>
    </row>
    <row r="8">
      <c r="A8" s="2"/>
      <c r="B8" s="2"/>
      <c r="C8" s="2"/>
      <c r="D8" s="2"/>
      <c r="E8" s="2"/>
    </row>
    <row r="9">
      <c r="A9" s="6" t="s">
        <v>352</v>
      </c>
      <c r="B9" s="2"/>
      <c r="C9" s="2"/>
      <c r="D9" s="2"/>
      <c r="E9" s="2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H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" customWidth="1"/>
    <col min="2" max="2" width="20" customWidth="1"/>
    <col min="3" max="3" width="55" customWidth="1"/>
    <col min="4" max="4" width="55" customWidth="1"/>
    <col min="5" max="5" width="34" customWidth="1"/>
    <col min="6" max="6" width="10" customWidth="1"/>
    <col min="7" max="7" width="11" customWidth="1"/>
    <col min="8" max="8" width="30" customWidth="1"/>
  </cols>
  <sheetData>
    <row r="1">
      <c r="A1" s="3" t="s">
        <v>353</v>
      </c>
      <c r="B1" s="3" t="s">
        <v>354</v>
      </c>
      <c r="C1" s="3" t="s">
        <v>355</v>
      </c>
      <c r="D1" s="3" t="s">
        <v>356</v>
      </c>
      <c r="E1" s="3" t="s">
        <v>357</v>
      </c>
      <c r="F1" s="3" t="s">
        <v>358</v>
      </c>
      <c r="G1" s="3" t="s">
        <v>26</v>
      </c>
      <c r="H1" s="3" t="s">
        <v>29</v>
      </c>
    </row>
    <row r="2">
      <c r="A2" s="4">
        <v>1</v>
      </c>
      <c r="B2" s="4" t="s">
        <v>359</v>
      </c>
      <c r="C2" s="4" t="s">
        <v>360</v>
      </c>
      <c r="D2" s="4" t="s">
        <v>361</v>
      </c>
      <c r="E2" s="4" t="s">
        <v>362</v>
      </c>
      <c r="F2" s="14" t="s">
        <v>19</v>
      </c>
      <c r="G2" s="4" t="s">
        <v>18</v>
      </c>
      <c r="H2" s="4" t="s">
        <v>363</v>
      </c>
    </row>
    <row r="3">
      <c r="A3" s="4">
        <v>2</v>
      </c>
      <c r="B3" s="4" t="s">
        <v>258</v>
      </c>
      <c r="C3" s="4" t="s">
        <v>364</v>
      </c>
      <c r="D3" s="4" t="s">
        <v>365</v>
      </c>
      <c r="E3" s="4" t="s">
        <v>366</v>
      </c>
      <c r="F3" s="12" t="s">
        <v>20</v>
      </c>
      <c r="G3" s="4" t="s">
        <v>367</v>
      </c>
      <c r="H3" s="4" t="s">
        <v>368</v>
      </c>
    </row>
    <row r="4">
      <c r="A4" s="4">
        <v>3</v>
      </c>
      <c r="B4" s="4" t="s">
        <v>369</v>
      </c>
      <c r="C4" s="4" t="s">
        <v>370</v>
      </c>
      <c r="D4" s="4" t="s">
        <v>371</v>
      </c>
      <c r="E4" s="4" t="s">
        <v>372</v>
      </c>
      <c r="F4" s="12" t="s">
        <v>20</v>
      </c>
      <c r="G4" s="4" t="s">
        <v>373</v>
      </c>
      <c r="H4" s="4" t="s">
        <v>374</v>
      </c>
    </row>
    <row r="5">
      <c r="A5" s="4">
        <v>4</v>
      </c>
      <c r="B5" s="4" t="s">
        <v>375</v>
      </c>
      <c r="C5" s="4" t="s">
        <v>376</v>
      </c>
      <c r="D5" s="4" t="s">
        <v>377</v>
      </c>
      <c r="E5" s="4" t="s">
        <v>7</v>
      </c>
      <c r="F5" s="11" t="s">
        <v>21</v>
      </c>
      <c r="G5" s="4" t="s">
        <v>367</v>
      </c>
      <c r="H5" s="4" t="s">
        <v>378</v>
      </c>
    </row>
    <row r="6">
      <c r="A6" s="4">
        <v>5</v>
      </c>
      <c r="B6" s="4" t="s">
        <v>379</v>
      </c>
      <c r="C6" s="4" t="s">
        <v>380</v>
      </c>
      <c r="D6" s="4" t="s">
        <v>381</v>
      </c>
      <c r="E6" s="4" t="s">
        <v>382</v>
      </c>
      <c r="F6" s="11" t="s">
        <v>21</v>
      </c>
      <c r="G6" s="4" t="s">
        <v>367</v>
      </c>
      <c r="H6" s="4" t="s">
        <v>383</v>
      </c>
    </row>
    <row r="7">
      <c r="A7" s="4">
        <v>6</v>
      </c>
      <c r="B7" s="4" t="s">
        <v>384</v>
      </c>
      <c r="C7" s="4" t="s">
        <v>385</v>
      </c>
      <c r="D7" s="4" t="s">
        <v>386</v>
      </c>
      <c r="E7" s="4" t="s">
        <v>387</v>
      </c>
      <c r="F7" s="11" t="s">
        <v>21</v>
      </c>
      <c r="G7" s="4" t="s">
        <v>373</v>
      </c>
      <c r="H7" s="4" t="s">
        <v>388</v>
      </c>
    </row>
    <row r="8">
      <c r="A8" s="4">
        <v>7</v>
      </c>
      <c r="B8" s="4" t="s">
        <v>389</v>
      </c>
      <c r="C8" s="4" t="s">
        <v>390</v>
      </c>
      <c r="D8" s="4" t="s">
        <v>391</v>
      </c>
      <c r="E8" s="4" t="s">
        <v>392</v>
      </c>
      <c r="F8" s="12" t="s">
        <v>20</v>
      </c>
      <c r="G8" s="4" t="s">
        <v>373</v>
      </c>
      <c r="H8" s="4" t="s">
        <v>393</v>
      </c>
    </row>
    <row r="9">
      <c r="A9" s="4">
        <v>8</v>
      </c>
      <c r="B9" s="4" t="s">
        <v>394</v>
      </c>
      <c r="C9" s="4" t="s">
        <v>395</v>
      </c>
      <c r="D9" s="4" t="s">
        <v>396</v>
      </c>
      <c r="E9" s="4" t="s">
        <v>397</v>
      </c>
      <c r="F9" s="12" t="s">
        <v>20</v>
      </c>
      <c r="G9" s="4" t="s">
        <v>373</v>
      </c>
      <c r="H9" s="4" t="s">
        <v>398</v>
      </c>
    </row>
    <row r="10">
      <c r="A10" s="4">
        <v>9</v>
      </c>
      <c r="B10" s="4" t="s">
        <v>399</v>
      </c>
      <c r="C10" s="4" t="s">
        <v>400</v>
      </c>
      <c r="D10" s="4" t="s">
        <v>401</v>
      </c>
      <c r="E10" s="4" t="s">
        <v>402</v>
      </c>
      <c r="F10" s="13" t="s">
        <v>22</v>
      </c>
      <c r="G10" s="4" t="s">
        <v>373</v>
      </c>
      <c r="H10" s="4" t="s">
        <v>403</v>
      </c>
    </row>
    <row r="11">
      <c r="A11" s="4">
        <v>10</v>
      </c>
      <c r="B11" s="4" t="s">
        <v>404</v>
      </c>
      <c r="C11" s="4" t="s">
        <v>405</v>
      </c>
      <c r="D11" s="4" t="s">
        <v>406</v>
      </c>
      <c r="E11" s="4" t="s">
        <v>407</v>
      </c>
      <c r="F11" s="14" t="s">
        <v>19</v>
      </c>
      <c r="G11" s="4" t="s">
        <v>373</v>
      </c>
      <c r="H11" s="4" t="s">
        <v>408</v>
      </c>
    </row>
    <row r="12">
      <c r="A12" s="4">
        <v>11</v>
      </c>
      <c r="B12" s="4" t="s">
        <v>409</v>
      </c>
      <c r="C12" s="4" t="s">
        <v>410</v>
      </c>
      <c r="D12" s="4" t="s">
        <v>411</v>
      </c>
      <c r="E12" s="4" t="s">
        <v>412</v>
      </c>
      <c r="F12" s="12" t="s">
        <v>20</v>
      </c>
      <c r="G12" s="4" t="s">
        <v>373</v>
      </c>
      <c r="H12" s="4" t="s">
        <v>413</v>
      </c>
    </row>
    <row r="13">
      <c r="A13" s="4">
        <v>12</v>
      </c>
      <c r="B13" s="4" t="s">
        <v>414</v>
      </c>
      <c r="C13" s="4" t="s">
        <v>415</v>
      </c>
      <c r="D13" s="4" t="s">
        <v>416</v>
      </c>
      <c r="E13" s="4" t="s">
        <v>417</v>
      </c>
      <c r="F13" s="14" t="s">
        <v>19</v>
      </c>
      <c r="G13" s="4" t="s">
        <v>373</v>
      </c>
      <c r="H13" s="4" t="s">
        <v>418</v>
      </c>
    </row>
    <row r="14">
      <c r="A14" s="4">
        <v>13</v>
      </c>
      <c r="B14" s="4" t="s">
        <v>419</v>
      </c>
      <c r="C14" s="4" t="s">
        <v>420</v>
      </c>
      <c r="D14" s="4" t="s">
        <v>421</v>
      </c>
      <c r="E14" s="4" t="s">
        <v>422</v>
      </c>
      <c r="F14" s="11" t="s">
        <v>21</v>
      </c>
      <c r="G14" s="4" t="s">
        <v>373</v>
      </c>
      <c r="H14" s="4" t="s">
        <v>423</v>
      </c>
    </row>
    <row r="15">
      <c r="A15" s="4">
        <v>14</v>
      </c>
      <c r="B15" s="4" t="s">
        <v>424</v>
      </c>
      <c r="C15" s="4" t="s">
        <v>425</v>
      </c>
      <c r="D15" s="4" t="s">
        <v>426</v>
      </c>
      <c r="E15" s="4" t="s">
        <v>427</v>
      </c>
      <c r="F15" s="11" t="s">
        <v>21</v>
      </c>
      <c r="G15" s="4" t="s">
        <v>373</v>
      </c>
      <c r="H15" s="4" t="s">
        <v>428</v>
      </c>
    </row>
    <row r="16">
      <c r="A16" s="4">
        <v>15</v>
      </c>
      <c r="B16" s="4" t="s">
        <v>429</v>
      </c>
      <c r="C16" s="4" t="s">
        <v>430</v>
      </c>
      <c r="D16" s="4" t="s">
        <v>431</v>
      </c>
      <c r="E16" s="4" t="s">
        <v>432</v>
      </c>
      <c r="F16" s="11" t="s">
        <v>21</v>
      </c>
      <c r="G16" s="4" t="s">
        <v>373</v>
      </c>
      <c r="H16" s="4" t="s">
        <v>433</v>
      </c>
    </row>
    <row r="17">
      <c r="A17" s="4">
        <v>16</v>
      </c>
      <c r="B17" s="4" t="s">
        <v>434</v>
      </c>
      <c r="C17" s="4" t="s">
        <v>405</v>
      </c>
      <c r="D17" s="4" t="s">
        <v>435</v>
      </c>
      <c r="E17" s="4" t="s">
        <v>436</v>
      </c>
      <c r="F17" s="11" t="s">
        <v>21</v>
      </c>
      <c r="G17" s="4" t="s">
        <v>373</v>
      </c>
      <c r="H17" s="4" t="s">
        <v>437</v>
      </c>
    </row>
    <row r="18">
      <c r="A18" s="4">
        <v>17</v>
      </c>
      <c r="B18" s="4" t="s">
        <v>438</v>
      </c>
      <c r="C18" s="4" t="s">
        <v>439</v>
      </c>
      <c r="D18" s="4" t="s">
        <v>440</v>
      </c>
      <c r="E18" s="4" t="s">
        <v>441</v>
      </c>
      <c r="F18" s="12" t="s">
        <v>20</v>
      </c>
      <c r="G18" s="4" t="s">
        <v>373</v>
      </c>
      <c r="H18" s="4" t="s">
        <v>442</v>
      </c>
    </row>
    <row r="19">
      <c r="A19" s="4">
        <v>18</v>
      </c>
      <c r="B19" s="4" t="s">
        <v>443</v>
      </c>
      <c r="C19" s="4" t="s">
        <v>405</v>
      </c>
      <c r="D19" s="4" t="s">
        <v>444</v>
      </c>
      <c r="E19" s="4" t="s">
        <v>445</v>
      </c>
      <c r="F19" s="13" t="s">
        <v>22</v>
      </c>
      <c r="G19" s="4" t="s">
        <v>18</v>
      </c>
      <c r="H19" s="4" t="s">
        <v>446</v>
      </c>
    </row>
    <row r="20">
      <c r="A20" s="4">
        <v>19</v>
      </c>
      <c r="B20" s="4" t="s">
        <v>279</v>
      </c>
      <c r="C20" s="4" t="s">
        <v>447</v>
      </c>
      <c r="D20" s="4" t="s">
        <v>448</v>
      </c>
      <c r="E20" s="4" t="s">
        <v>7</v>
      </c>
      <c r="F20" s="12" t="s">
        <v>20</v>
      </c>
      <c r="G20" s="4" t="s">
        <v>367</v>
      </c>
      <c r="H20" s="4" t="s">
        <v>449</v>
      </c>
    </row>
    <row r="21">
      <c r="A21" s="4">
        <v>20</v>
      </c>
      <c r="B21" s="4" t="s">
        <v>450</v>
      </c>
      <c r="C21" s="4" t="s">
        <v>451</v>
      </c>
      <c r="D21" s="4" t="s">
        <v>448</v>
      </c>
      <c r="E21" s="4" t="s">
        <v>7</v>
      </c>
      <c r="F21" s="12" t="s">
        <v>20</v>
      </c>
      <c r="G21" s="4" t="s">
        <v>367</v>
      </c>
      <c r="H21" s="4" t="s">
        <v>452</v>
      </c>
    </row>
    <row r="22">
      <c r="A22" s="4">
        <v>21</v>
      </c>
      <c r="B22" s="4" t="s">
        <v>453</v>
      </c>
      <c r="C22" s="4" t="s">
        <v>454</v>
      </c>
      <c r="D22" s="4" t="s">
        <v>448</v>
      </c>
      <c r="E22" s="4" t="s">
        <v>7</v>
      </c>
      <c r="F22" s="12" t="s">
        <v>20</v>
      </c>
      <c r="G22" s="4" t="s">
        <v>367</v>
      </c>
      <c r="H22" s="4" t="s">
        <v>455</v>
      </c>
    </row>
    <row r="23">
      <c r="A23" s="4">
        <v>22</v>
      </c>
      <c r="B23" s="4" t="s">
        <v>456</v>
      </c>
      <c r="C23" s="4" t="s">
        <v>457</v>
      </c>
      <c r="D23" s="4" t="s">
        <v>458</v>
      </c>
      <c r="E23" s="4" t="s">
        <v>7</v>
      </c>
      <c r="F23" s="12" t="s">
        <v>20</v>
      </c>
      <c r="G23" s="4" t="s">
        <v>18</v>
      </c>
      <c r="H23" s="4" t="s">
        <v>459</v>
      </c>
    </row>
  </sheetData>
  <autoFilter ref="A1:H23"/>
  <dataValidations count="1">
    <dataValidation type="list" sqref="G2:G122">
      <formula1>"Open,In progress,Fixed,Won't fix"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" customWidth="1"/>
    <col min="2" max="2" width="34" customWidth="1"/>
    <col min="3" max="3" width="60" customWidth="1"/>
    <col min="4" max="4" width="50" customWidth="1"/>
    <col min="5" max="5" width="30" customWidth="1"/>
  </cols>
  <sheetData>
    <row r="1">
      <c r="A1" s="3" t="s">
        <v>353</v>
      </c>
      <c r="B1" s="3" t="s">
        <v>460</v>
      </c>
      <c r="C1" s="3" t="s">
        <v>461</v>
      </c>
      <c r="D1" s="3" t="s">
        <v>462</v>
      </c>
      <c r="E1" s="3" t="s">
        <v>463</v>
      </c>
    </row>
    <row r="2">
      <c r="A2" s="4" t="s">
        <v>464</v>
      </c>
      <c r="B2" s="4" t="s">
        <v>465</v>
      </c>
      <c r="C2" s="4" t="s">
        <v>466</v>
      </c>
      <c r="D2" s="4" t="s">
        <v>467</v>
      </c>
      <c r="E2" s="15" t="s">
        <v>468</v>
      </c>
    </row>
    <row r="3">
      <c r="A3" s="4" t="s">
        <v>469</v>
      </c>
      <c r="B3" s="4" t="s">
        <v>470</v>
      </c>
      <c r="C3" s="4" t="s">
        <v>471</v>
      </c>
      <c r="D3" s="4" t="s">
        <v>472</v>
      </c>
      <c r="E3" s="15" t="s">
        <v>468</v>
      </c>
    </row>
    <row r="4">
      <c r="A4" s="4" t="s">
        <v>473</v>
      </c>
      <c r="B4" s="4" t="s">
        <v>474</v>
      </c>
      <c r="C4" s="4" t="s">
        <v>475</v>
      </c>
      <c r="D4" s="4" t="s">
        <v>476</v>
      </c>
      <c r="E4" s="15" t="s">
        <v>468</v>
      </c>
    </row>
    <row r="5">
      <c r="A5" s="4" t="s">
        <v>477</v>
      </c>
      <c r="B5" s="4" t="s">
        <v>478</v>
      </c>
      <c r="C5" s="4" t="s">
        <v>479</v>
      </c>
      <c r="D5" s="4" t="s">
        <v>480</v>
      </c>
      <c r="E5" s="15" t="s">
        <v>468</v>
      </c>
    </row>
    <row r="6">
      <c r="A6" s="4" t="s">
        <v>481</v>
      </c>
      <c r="B6" s="4" t="s">
        <v>482</v>
      </c>
      <c r="C6" s="4" t="s">
        <v>483</v>
      </c>
      <c r="D6" s="4" t="s">
        <v>484</v>
      </c>
      <c r="E6" s="15" t="s">
        <v>485</v>
      </c>
    </row>
    <row r="7">
      <c r="A7" s="2"/>
      <c r="B7" s="2"/>
      <c r="C7" s="2"/>
      <c r="D7" s="2"/>
      <c r="E7" s="2"/>
    </row>
    <row r="8">
      <c r="A8" s="6" t="s">
        <v>486</v>
      </c>
      <c r="B8" s="2"/>
      <c r="C8" s="2"/>
      <c r="D8" s="2"/>
      <c r="E8" s="2"/>
    </row>
  </sheetData>
  <headerFooter/>
</worksheet>
</file>